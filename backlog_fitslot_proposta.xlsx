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gimi" sheetId="1" state="visible" r:id="rId3"/>
    <sheet name="Backlog proposto" sheetId="2" state="visible" r:id="rId4"/>
    <sheet name="Epic e temi" sheetId="3" state="visible" r:id="rId5"/>
    <sheet name="Da discutere" sheetId="4" state="visible" r:id="rId6"/>
  </sheets>
  <definedNames>
    <definedName function="false" hidden="false" localSheetId="1" name="_xlnm.Print_Titles" vbProcedure="false">'Backlog proposto'!$1:$1</definedName>
    <definedName function="false" hidden="true" localSheetId="1" name="_xlnm._FilterDatabase" vbProcedure="false">'Backlog proposto'!$A$1:$N$96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<sst xmlns="http://schemas.openxmlformats.org/spreadsheetml/2006/main" count="1116" uniqueCount="565">
  <si>
    <t xml:space="preserve">Backlog FitSlot: proposta da discutere</t>
  </si>
  <si>
    <t xml:space="preserve">Cos'è</t>
  </si>
  <si>
    <t xml:space="preserve">Una proposta di temi, epic, user story, task tecnici e spike ricavata dal vostro «Resoconto Completo». Non è una versione definitiva: serve per discutere, tagliare e riordinare.</t>
  </si>
  <si>
    <t xml:space="preserve">Contenuto</t>
  </si>
  <si>
    <t xml:space="preserve">6 temi, 22 epic, 85 storie, 5 task tecnici, 5 spike (95 voci in tutto). Le prime 7 colonne del foglio «Backlog proposto» sono nello stesso ordine del template Excel (Ordine, ID, Titolo, Descrizione, Valore di business, Story Point, Nello sprint?).</t>
  </si>
  <si>
    <t xml:space="preserve">Come copiare nel template</t>
  </si>
  <si>
    <t xml:space="preserve">Selezionate le righe che volete tenere (colonne A-G) e incollatele nel template con «Incolla speciale &gt; Valori», così non portate con voi colori e formati. Le colonne I-N (tema, epic, tipo, dipendenze, sprint suggerito, note) servono solo per la discussione.</t>
  </si>
  <si>
    <t xml:space="preserve">Cosa compilare voi</t>
  </si>
  <si>
    <t xml:space="preserve">Story Point (colonna F) e Nello sprint? (colonna G), celle in giallo: sono volutamente vuote. Gli story point si stimano con il planning poker; nessuna stima qui dentro.</t>
  </si>
  <si>
    <t xml:space="preserve">Valore di business</t>
  </si>
  <si>
    <t xml:space="preserve">Proposta mia, da rivedere. Menu a tendina Basso / Medio / Alto con colori (verde, arancione, rosso).</t>
  </si>
  <si>
    <t xml:space="preserve">Ordine e sprint suggerito</t>
  </si>
  <si>
    <t xml:space="preserve">L'ordine tiene conto del valore e delle dipendenze (controllate: nessuna voce viene prima di ciò da cui dipende). Gli sprint S2-S4 sono volutamente pieni: servono per scegliere cosa tagliare in base alla vostra capacità.</t>
  </si>
  <si>
    <t xml:space="preserve">Criteri di accettazione</t>
  </si>
  <si>
    <t xml:space="preserve">Sono già scritti per le voci dei primi sprint (formato Dato che / quando / allora) e stanno nella colonna Descrizione, sotto la storia. Per le altre voci vanno scritti prima di entrare in uno sprint.</t>
  </si>
  <si>
    <t xml:space="preserve">Da discutere</t>
  </si>
  <si>
    <t xml:space="preserve">Il foglio «Da discutere» raccoglie 18 decisioni da prendere e verifiche da fare con il professore. Alcune voci rimandano ai codici D1, D2, ecc.</t>
  </si>
  <si>
    <t xml:space="preserve">Regole di dominio</t>
  </si>
  <si>
    <t xml:space="preserve">Le note indicano quando una regola viene da una risposta del professore e quando dalle note di altri gruppi (da confermare).</t>
  </si>
  <si>
    <t xml:space="preserve">Ordine</t>
  </si>
  <si>
    <t xml:space="preserve">ID</t>
  </si>
  <si>
    <t xml:space="preserve">Titolo</t>
  </si>
  <si>
    <t xml:space="preserve">Descrizione</t>
  </si>
  <si>
    <t xml:space="preserve">Story Point</t>
  </si>
  <si>
    <t xml:space="preserve">Nello sprint? (x)</t>
  </si>
  <si>
    <t xml:space="preserve">Tema</t>
  </si>
  <si>
    <t xml:space="preserve">Epic</t>
  </si>
  <si>
    <t xml:space="preserve">Tipo</t>
  </si>
  <si>
    <t xml:space="preserve">Dipendenze</t>
  </si>
  <si>
    <t xml:space="preserve">Sprint suggerito</t>
  </si>
  <si>
    <t xml:space="preserve">Note e punti da discutere</t>
  </si>
  <si>
    <t xml:space="preserve">TK-01</t>
  </si>
  <si>
    <t xml:space="preserve">Creare il progetto Maven con architettura a livelli</t>
  </si>
  <si>
    <t xml:space="preserve">Task: creare il progetto con Maven e organizzarlo a livelli (interfaccia, servizi, repository), così che le regole stiano fuori dall'interfaccia e si possano testare.</t>
  </si>
  <si>
    <t xml:space="preserve">Medio</t>
  </si>
  <si>
    <t xml:space="preserve">Tema 6 · Fondamenta tecniche</t>
  </si>
  <si>
    <t xml:space="preserve">E6.1 Task tecnici</t>
  </si>
  <si>
    <t xml:space="preserve">Task tecnico</t>
  </si>
  <si>
    <t xml:space="preserve">S1</t>
  </si>
  <si>
    <t xml:space="preserve">Da fare insieme alle prime storie, non da solo.</t>
  </si>
  <si>
    <t xml:space="preserve">TK-02</t>
  </si>
  <si>
    <t xml:space="preserve">Schema del database e script SQL</t>
  </si>
  <si>
    <t xml:space="preserve">Task: definire lo schema del database (utenti e ruoli, iscritti, certificati, abbonamenti, strutture, corsi, lezioni, prenotazioni, ingressi) e scrivere gli script SQL di creazione e di dati di prova.</t>
  </si>
  <si>
    <t xml:space="preserve">Tenere distinti corso (ricorrente) e lezione (singola data).</t>
  </si>
  <si>
    <t xml:space="preserve">TK-03</t>
  </si>
  <si>
    <t xml:space="preserve">Database di test e prima suite di test</t>
  </si>
  <si>
    <t xml:space="preserve">Task: preparare un database di test e scrivere i primi test (JUnit), così da seguire il TDD fin dal primo sprint.</t>
  </si>
  <si>
    <t xml:space="preserve">TK-01, TK-02</t>
  </si>
  <si>
    <t xml:space="preserve">UE-01</t>
  </si>
  <si>
    <t xml:space="preserve">Registrare un nuovo iscritto</t>
  </si>
  <si>
    <t xml:space="preserve">Come reception, voglio registrare un nuovo iscritto con i suoi dati anagrafici e di contatto, così da averlo in anagrafica e poterlo gestire.
Criteri di accettazione:
1) Dato che sono la reception, quando inserisco nome, cognome, data di nascita e un recapito e confermo, allora l'iscritto compare in anagrafica con un codice univoco.
2) Dato che manca un dato obbligatorio, quando provo a confermare, allora vedo quale dato manca e l'iscritto non viene creato.
3) Dato che esiste già un iscritto con gli stessi dati identificativi, quando provo a registrarlo, allora vedo un avviso di possibile duplicato.</t>
  </si>
  <si>
    <t xml:space="preserve">Alto</t>
  </si>
  <si>
    <t xml:space="preserve">Tema 1 · Anagrafica, accesso e conformità sanitaria</t>
  </si>
  <si>
    <t xml:space="preserve">E1.1 Registrazione e anagrafica iscritti</t>
  </si>
  <si>
    <t xml:space="preserve">Storia</t>
  </si>
  <si>
    <t xml:space="preserve">Candidata a storia di riferimento (2 punti) per il planning poker: piccola e chiara.</t>
  </si>
  <si>
    <t xml:space="preserve">UE-04</t>
  </si>
  <si>
    <t xml:space="preserve">Cercare un iscritto</t>
  </si>
  <si>
    <t xml:space="preserve">Come reception, voglio cercare un iscritto per nome, cognome o codice, così da trovarlo subito mentre è al banco.
Criteri di accettazione:
1) Dato che esistono più iscritti con lo stesso cognome, quando cerco per cognome, allora vedo l'elenco di tutti quelli corrispondenti con nome e codice.
2) Dato che nessun iscritto corrisponde, quando cerco, allora vedo un messaggio di «nessun risultato».</t>
  </si>
  <si>
    <t xml:space="preserve">UE-05</t>
  </si>
  <si>
    <t xml:space="preserve">Accedere con le mie credenziali</t>
  </si>
  <si>
    <t xml:space="preserve">Come utente registrato, voglio accedere con le mie credenziali personali, così da usare il sistema in modo sicuro e riconoscibile.
Criteri di accettazione:
1) Dato che ho credenziali valide, quando le inserisco, allora accedo alle funzioni che mi spettano.
2) Dato che le credenziali sono sbagliate, quando provo ad accedere, allora vedo un messaggio di errore e non entro.
3) Dato che ho effettuato l'accesso, quando esco, allora per rientrare devo inserire di nuovo le credenziali.</t>
  </si>
  <si>
    <t xml:space="preserve">E1.2 Accesso e ruoli</t>
  </si>
  <si>
    <t xml:space="preserve">UE-06</t>
  </si>
  <si>
    <t xml:space="preserve">Vedere solo le funzioni del mio ruolo</t>
  </si>
  <si>
    <t xml:space="preserve">Come gestore, voglio che ogni utente veda e usi solo le funzioni del proprio ruolo, così da evitare operazioni non autorizzate.
Criteri di accettazione:
1) Dato che sono un iscritto, quando accedo, allora non vedo le funzioni riservate a reception, istruttori e gestore.
2) Dato che sono la reception, quando accedo, allora posso registrare iscritti e ingressi ma non modificare il listino.</t>
  </si>
  <si>
    <t xml:space="preserve">UE-08</t>
  </si>
  <si>
    <t xml:space="preserve">Registrare un certificato cartaceo</t>
  </si>
  <si>
    <t xml:space="preserve">Come reception, voglio registrare un certificato medico consegnato su carta, dopo averlo controllato, con la sua data di scadenza, così da aggiornare subito la posizione dell'iscritto.
Criteri di accettazione:
1) Dato che un iscritto consegna il certificato, quando inserisco la data di scadenza e confermo, allora il certificato risulta valido fino a quella data.
2) Dato che la data di scadenza è già passata, quando provo a registrarlo, allora vedo un avviso e il certificato non risulta valido.</t>
  </si>
  <si>
    <t xml:space="preserve">E1.3 Certificato medico</t>
  </si>
  <si>
    <t xml:space="preserve">Il controllo del cartaceo è visivo e va fatto una sola volta (risposta del professore).</t>
  </si>
  <si>
    <t xml:space="preserve">UE-15</t>
  </si>
  <si>
    <t xml:space="preserve">Definire un tipo di abbonamento</t>
  </si>
  <si>
    <t xml:space="preserve">Come gestore, voglio definire un tipo di abbonamento (durata o numero di ingressi, servizi inclusi, fasce orarie, prezzo), così da offrire formule diverse ai clienti.
Criteri di accettazione:
1) Dato che sono il gestore, quando definisco un abbonamento a 10 ingressi valido per sala pesi e corsi con un prezzo e confermo, allora il tipo compare nel listino con le sue caratteristiche.
2) Dato che manca il prezzo o la durata o il numero di ingressi, quando confermo, allora vedo cosa manca e il tipo non viene creato.</t>
  </si>
  <si>
    <t xml:space="preserve">Tema 2 · Abbonamenti, crediti e pagamenti</t>
  </si>
  <si>
    <t xml:space="preserve">E2.1 Tipi di abbonamento</t>
  </si>
  <si>
    <t xml:space="preserve">La traccia parla di un abbonamento a 10 ingressi: vedi D6 sul listino.</t>
  </si>
  <si>
    <t xml:space="preserve">UE-18</t>
  </si>
  <si>
    <t xml:space="preserve">Assegnare un abbonamento in reception</t>
  </si>
  <si>
    <t xml:space="preserve">Come reception, voglio assegnare un abbonamento a un iscritto, così da attivarlo subito al momento della vendita.
Criteri di accettazione:
1) Dato che l'iscritto non ha un abbonamento attivo, quando gli assegno un tipo di abbonamento a tempo, allora l'abbonamento risulta attivo con data di inizio e di scadenza.
2) Dato che assegno un abbonamento a ingressi, quando confermo, allora gli ingressi residui sono pari a quelli del tipo scelto.</t>
  </si>
  <si>
    <t xml:space="preserve">E2.2 Assegnazione e consultazione abbonamenti</t>
  </si>
  <si>
    <t xml:space="preserve">UE-01, UE-15</t>
  </si>
  <si>
    <t xml:space="preserve">In questo sprint la vendita non registra ancora il pagamento (UE-27).</t>
  </si>
  <si>
    <t xml:space="preserve">UE-60</t>
  </si>
  <si>
    <t xml:space="preserve">Registrare un ingresso con esito</t>
  </si>
  <si>
    <t xml:space="preserve">Come reception, voglio registrare l'ingresso di un iscritto e vedere subito se può entrare e per quale attività, così da non far entrare chi non è in regola.
Criteri di accettazione:
1) Dato che l'iscritto ha certificato e abbonamento validi, quando registro l'ingresso, allora vedo «ammesso» e l'ingresso viene registrato con data e ora.
2) Dato che il certificato è scaduto, quando registro l'ingresso, allora vedo «non ammesso» con il motivo e l'ingresso non viene registrato.
3) Dato che l'abbonamento è scaduto, quando registro l'ingresso, allora vedo «non ammesso» con il motivo.</t>
  </si>
  <si>
    <t xml:space="preserve">Tema 4 · Operatività giornaliera</t>
  </si>
  <si>
    <t xml:space="preserve">E4.1 Controllo accessi</t>
  </si>
  <si>
    <t xml:space="preserve">UE-04, UE-08, UE-18</t>
  </si>
  <si>
    <t xml:space="preserve">Affronta il problema principale della reception («ogni lunedì entrano venti persone con il certificato scaduto»). Nello sprint 1 non controlla ancora capienza né prenotazione (UE-62, UE-63).</t>
  </si>
  <si>
    <t xml:space="preserve">UE-61</t>
  </si>
  <si>
    <t xml:space="preserve">Vedere il motivo del rifiuto</t>
  </si>
  <si>
    <t xml:space="preserve">Come reception, voglio vedere il motivo preciso del rifiuto (certificato scaduto, abbonamento scaduto, servizio non incluso, fuori fascia oraria, ingressi esauriti), così da spiegarlo all'iscritto.
Criteri di accettazione:
1) Dato che l'abbonamento non include la piscina, quando registro un ingresso in piscina, allora vedo «servizio non incluso».
2) Dato che l'abbonamento vale solo di mattina, quando registro un ingresso alle 17:00, allora vedo «fuori fascia oraria».
3) Dato che ho 0 ingressi residui, quando registro un ingresso, allora vedo «ingressi esauriti».</t>
  </si>
  <si>
    <t xml:space="preserve">Se risulta troppo piccola si può unire a UE-60.</t>
  </si>
  <si>
    <t xml:space="preserve">SP-01</t>
  </si>
  <si>
    <t xml:space="preserve">Spike: tempi limite e scadenze</t>
  </si>
  <si>
    <t xml:space="preserve">Spike: capire come gestire eventi che scattano nel tempo (offerte di subentro che scadono, avvisi sul certificato, lezioni da annullare) e produrre un piccolo prototipo.</t>
  </si>
  <si>
    <t xml:space="preserve">E6.2 Spike (indagini)</t>
  </si>
  <si>
    <t xml:space="preserve">Spike</t>
  </si>
  <si>
    <t xml:space="preserve">S2</t>
  </si>
  <si>
    <t xml:space="preserve">Output: scelta motivata e prototipo. Limite di tempo da fissare (ad esempio un giorno di lavoro).</t>
  </si>
  <si>
    <t xml:space="preserve">SP-02</t>
  </si>
  <si>
    <t xml:space="preserve">Spike: due persone prenotano l'ultimo posto</t>
  </si>
  <si>
    <t xml:space="preserve">Spike: capire come evitare che due prenotazioni simultanee superino la capienza.</t>
  </si>
  <si>
    <t xml:space="preserve">TK-04</t>
  </si>
  <si>
    <t xml:space="preserve">Orario controllabile nei test</t>
  </si>
  <si>
    <t xml:space="preserve">Task: far arrivare l'orario corrente al codice dall'esterno, così da testare le regole sulle 2 ore e sulle scadenze senza aspettare.</t>
  </si>
  <si>
    <t xml:space="preserve">UE-07</t>
  </si>
  <si>
    <t xml:space="preserve">Assegnare più ruoli a una persona</t>
  </si>
  <si>
    <t xml:space="preserve">Come gestore, voglio assegnare più ruoli alla stessa persona (ad esempio istruttore e iscritto), così da rappresentare chi insegna e allo stesso tempo frequenta il centro.
Criteri di accettazione:
1) Dato che una persona è sia istruttore sia iscritta, quando accede, allora può scegliere con quale ruolo operare.
2) Dato che opera come istruttore, quando consulta le funzioni, allora vede solo quelle da istruttore.</t>
  </si>
  <si>
    <t xml:space="preserve">Esempio fatto dal professore.</t>
  </si>
  <si>
    <t xml:space="preserve">UE-34</t>
  </si>
  <si>
    <t xml:space="preserve">Definire strutture e capienze</t>
  </si>
  <si>
    <t xml:space="preserve">Come gestore, voglio definire sale corsi, sala pesi e piscina con la capienza massima e gli orari prenotabili, così da non superare i posti disponibili.
Criteri di accettazione:
1) Dato che sono il gestore, quando creo la sala yoga con 20 posti e confermo, allora la struttura compare con capienza 20.
2) Dato che inserisco una capienza non positiva, quando confermo, allora vedo un errore e la struttura non viene creata.</t>
  </si>
  <si>
    <t xml:space="preserve">Tema 3 · Palinsesto, prenotazioni e liste d'attesa</t>
  </si>
  <si>
    <t xml:space="preserve">E3.1 Palinsesto e strutture</t>
  </si>
  <si>
    <t xml:space="preserve">Risposta del professore: tutto è a capienza (corsi, sala pesi, piscina).</t>
  </si>
  <si>
    <t xml:space="preserve">UE-35</t>
  </si>
  <si>
    <t xml:space="preserve">Creare un corso fisso</t>
  </si>
  <si>
    <t xml:space="preserve">Come gestore, voglio creare un corso ricorrente (sala, giorno, ora, posti massimi), così da pubblicare il palinsesto.
Criteri di accettazione:
1) Dato che creo yoga il martedì alle 18:30 in sala 1 con 20 posti, quando confermo, allora il corso compare ogni martedì.
2) Dato che la sala è già occupata in quell'orario, quando provo a creare un secondo corso, allora vedo un avviso e il corso non viene creato.</t>
  </si>
  <si>
    <t xml:space="preserve">Distinguere il corso (ricorrente) dalla lezione (singola data): prenotazioni e annullamenti riguardano la lezione.</t>
  </si>
  <si>
    <t xml:space="preserve">UE-36</t>
  </si>
  <si>
    <t xml:space="preserve">Vedere il palinsesto con i posti liberi</t>
  </si>
  <si>
    <t xml:space="preserve">Come iscritto, voglio vedere il palinsesto con i posti ancora liberi per ogni lezione, così da scegliere cosa prenotare.
Criteri di accettazione:
1) Dato che una lezione ha 20 posti e 17 prenotati, quando guardo il palinsesto, allora vedo «3 posti liberi».
2) Dato che la lezione è piena, quando guardo il palinsesto, allora vedo «completo».</t>
  </si>
  <si>
    <t xml:space="preserve">UE-35, UE-05</t>
  </si>
  <si>
    <t xml:space="preserve">UE-39</t>
  </si>
  <si>
    <t xml:space="preserve">Prenotare un posto in un corso</t>
  </si>
  <si>
    <t xml:space="preserve">Come iscritto, voglio prenotare un posto in una lezione con posti liberi, così da essere sicuro di averlo.
Criteri di accettazione:
1) Dato che la lezione ha posti liberi, quando prenoto, allora la prenotazione è confermata e i posti liberi diminuiscono di uno.
2) Dato che la lezione è piena, quando provo a prenotare, allora vedo che è completa e la prenotazione non viene creata.
3) Dato che ho già una prenotazione per quella lezione, quando provo a prenotare di nuovo, allora vedo un avviso.</t>
  </si>
  <si>
    <t xml:space="preserve">E3.2 Prenotazioni</t>
  </si>
  <si>
    <t xml:space="preserve">UE-36, SP-02</t>
  </si>
  <si>
    <t xml:space="preserve">Attenzione al caso di due persone che prenotano l'ultimo posto (SP-02).</t>
  </si>
  <si>
    <t xml:space="preserve">UE-42</t>
  </si>
  <si>
    <t xml:space="preserve">Cancellare una prenotazione</t>
  </si>
  <si>
    <t xml:space="preserve">Come iscritto, voglio cancellare una mia prenotazione, così da liberare il posto se non posso andare.
Criteri di accettazione:
1) Dato che ho una prenotazione futura, quando la cancello, allora sparisce dalle mie prenotazioni e il posto torna libero.
2) Dato che la lezione è già iniziata, quando provo a cancellare, allora vedo che non è più possibile.</t>
  </si>
  <si>
    <t xml:space="preserve">UE-43</t>
  </si>
  <si>
    <t xml:space="preserve">Vedere le mie prenotazioni</t>
  </si>
  <si>
    <t xml:space="preserve">Come iscritto, voglio vedere le mie prenotazioni future e il loro stato (confermata, in lista d'attesa), così da organizzarmi.</t>
  </si>
  <si>
    <t xml:space="preserve">UE-11</t>
  </si>
  <si>
    <t xml:space="preserve">Vedere lo stato del mio certificato</t>
  </si>
  <si>
    <t xml:space="preserve">Come iscritto, voglio vedere se il mio certificato è valido, in attesa di verifica o scaduto e fino a quando vale, così da sapere se posso prenotare ed entrare.
Criteri di accettazione:
1) Dato che il mio certificato è valido, quando apro il mio profilo, allora vedo «valido» e la data di scadenza.
2) Dato che il mio certificato è scaduto, quando apro il mio profilo, allora vedo «scaduto» e l'indicazione di portarne uno nuovo.</t>
  </si>
  <si>
    <t xml:space="preserve">UE-05, UE-08</t>
  </si>
  <si>
    <t xml:space="preserve">UE-12</t>
  </si>
  <si>
    <t xml:space="preserve">Bloccare le prenotazioni senza certificato valido</t>
  </si>
  <si>
    <t xml:space="preserve">Come gestore, voglio che chi ha il certificato scaduto o non ancora verificato non possa prenotare, così da evitare accessi non regolari al centro.
Criteri di accettazione:
1) Dato che il mio certificato è scaduto, quando provo a prenotare, allora la prenotazione è rifiutata con il motivo «certificato scaduto».
2) Dato che il mio certificato scade domani, quando prenoto una lezione di oggi, allora la prenotazione è accettata.
3) Dato che il mio certificato non è ancora stato verificato, quando provo a prenotare, allora la prenotazione è rifiutata con il motivo «certificato in attesa di verifica».</t>
  </si>
  <si>
    <t xml:space="preserve">UE-08, UE-39</t>
  </si>
  <si>
    <t xml:space="preserve">Regola presa dalle note di altri gruppi: da confermare (D14). Vedi anche D13.</t>
  </si>
  <si>
    <t xml:space="preserve">UE-19</t>
  </si>
  <si>
    <t xml:space="preserve">Vedere il mio abbonamento</t>
  </si>
  <si>
    <t xml:space="preserve">Come iscritto, voglio vedere tipo, scadenza e ingressi residui del mio abbonamento, così da sapere cosa posso fare.
Criteri di accettazione:
1) Dato che ho un abbonamento a 10 ingressi con 4 usati, quando apro il mio profilo, allora vedo «6 ingressi residui» e la data di scadenza.
2) Dato che il mio abbonamento è scaduto, quando apro il mio profilo, allora vedo «scaduto».</t>
  </si>
  <si>
    <t xml:space="preserve">UE-05, UE-18</t>
  </si>
  <si>
    <t xml:space="preserve">UE-21</t>
  </si>
  <si>
    <t xml:space="preserve">Un ingresso per ogni attività</t>
  </si>
  <si>
    <t xml:space="preserve">Come iscritto con abbonamento a ingressi, voglio che ogni attività (un corso, un accesso in sala pesi o in piscina) consumi un solo ingresso, così da sapere esattamente quanti me ne restano.
Criteri di accettazione:
1) Dato che ho 5 ingressi, quando partecipo a un corso e poi entro in piscina nello stesso giorno, allora me ne restano 3.
2) Dato che ho un abbonamento a tempo, quando partecipo a un'attività, allora non vengono scalati ingressi.</t>
  </si>
  <si>
    <t xml:space="preserve">E2.3 Crediti (ingressi)</t>
  </si>
  <si>
    <t xml:space="preserve">UE-18, UE-60</t>
  </si>
  <si>
    <t xml:space="preserve">Risposta del professore: un ingresso vale per una singola attività.</t>
  </si>
  <si>
    <t xml:space="preserve">UE-22</t>
  </si>
  <si>
    <t xml:space="preserve">Riservare l'ingresso alla prenotazione</t>
  </si>
  <si>
    <t xml:space="preserve">Come iscritto con abbonamento a ingressi, voglio che l'ingresso venga riservato quando la prenotazione è confermata, così da non prenotare più attività di quelle che posso pagare.
Criteri di accettazione:
1) Dato che ho 1 ingresso, quando prenoto un corso, allora l'ingresso risulta riservato e non posso prenotare un'altra attività.
2) Dato che ho riservato l'ingresso, quando partecipo e l'ingresso viene registrato, allora l'ingresso riservato risulta usato.</t>
  </si>
  <si>
    <t xml:space="preserve">UE-21, UE-39</t>
  </si>
  <si>
    <t xml:space="preserve">Regola proposta da noi (D1): il professore ha detto «dipende dalla lista e dal tempo limite per cancellarsi».</t>
  </si>
  <si>
    <t xml:space="preserve">UE-23</t>
  </si>
  <si>
    <t xml:space="preserve">Riavere l'ingresso se cancello in tempo</t>
  </si>
  <si>
    <t xml:space="preserve">Come iscritto, voglio riavere l'ingresso se cancello almeno 2 ore prima dell'inizio, così da non perderlo se cambio programma.
Criteri di accettazione:
1) Dato che ho una prenotazione che inizia tra 3 ore, quando la cancello, allora l'ingresso torna disponibile.
2) Dato che mancano esattamente 2 ore all'inizio, quando cancello, allora l'ingresso torna disponibile.</t>
  </si>
  <si>
    <t xml:space="preserve">UE-22, UE-42</t>
  </si>
  <si>
    <t xml:space="preserve">SP-03</t>
  </si>
  <si>
    <t xml:space="preserve">Spike: file del certificato</t>
  </si>
  <si>
    <t xml:space="preserve">Spike: capire dove e come conservare il file del certificato e chi può vederlo.</t>
  </si>
  <si>
    <t xml:space="preserve">S3</t>
  </si>
  <si>
    <t xml:space="preserve">SP-04</t>
  </si>
  <si>
    <t xml:space="preserve">Spike: invio degli avvisi</t>
  </si>
  <si>
    <t xml:space="preserve">Spike: decidere come inviare gli avvisi (nel sistema ed e-mail simulata) e come collegarli alle regole.</t>
  </si>
  <si>
    <t xml:space="preserve">TK-05</t>
  </si>
  <si>
    <t xml:space="preserve">Integrazione continua</t>
  </si>
  <si>
    <t xml:space="preserve">Task: configurare l'esecuzione automatica dei test a ogni push su GitHub.</t>
  </si>
  <si>
    <t xml:space="preserve">Basso</t>
  </si>
  <si>
    <t xml:space="preserve">Opzionale: verificare che sia gradita.</t>
  </si>
  <si>
    <t xml:space="preserve">UE-77</t>
  </si>
  <si>
    <t xml:space="preserve">Vedere le mie notifiche</t>
  </si>
  <si>
    <t xml:space="preserve">Come utente registrato, voglio vedere le mie notifiche nel sistema, così da non perdermi avvisi importanti.
Criteri di accettazione:
1) Dato che ho una nuova notifica, quando apro l'elenco, allora la vedo in cima con data e testo.
2) Dato che non ho notifiche, quando apro l'elenco, allora vedo un messaggio che dice che non ce ne sono.</t>
  </si>
  <si>
    <t xml:space="preserve">E4.5 Notifiche</t>
  </si>
  <si>
    <t xml:space="preserve">UE-05, SP-04</t>
  </si>
  <si>
    <t xml:space="preserve">Il modo di avvisare è a nostra discrezione (risposta del professore).</t>
  </si>
  <si>
    <t xml:space="preserve">UE-09</t>
  </si>
  <si>
    <t xml:space="preserve">Caricare il file del certificato</t>
  </si>
  <si>
    <t xml:space="preserve">Come iscritto, voglio caricare il file del mio certificato medico dal sistema, così da non dover portare il cartaceo in reception.</t>
  </si>
  <si>
    <t xml:space="preserve">UE-05, SP-03</t>
  </si>
  <si>
    <t xml:space="preserve">Il certificato resta «in attesa di verifica» finché la reception non lo valida (UE-10).</t>
  </si>
  <si>
    <t xml:space="preserve">UE-10</t>
  </si>
  <si>
    <t xml:space="preserve">Validare un certificato caricato</t>
  </si>
  <si>
    <t xml:space="preserve">Come reception, voglio verificare il certificato caricato da un iscritto e confermarne validità e scadenza, una volta sola, così da sbloccarlo per prenotazioni e ingressi.</t>
  </si>
  <si>
    <t xml:space="preserve">UE-14</t>
  </si>
  <si>
    <t xml:space="preserve">Proteggere i dati del certificato</t>
  </si>
  <si>
    <t xml:space="preserve">Come iscritto, voglio che il mio certificato medico sia visibile solo a me e al personale autorizzato, così da proteggere i miei dati sanitari.
Criteri di accettazione:
1) Dato che sono un altro iscritto, quando cerco di vedere il certificato di una persona diversa da me, allora non è accessibile.
2) Dato che sono la reception, quando consulto la scheda di un iscritto, allora vedo lo stato e la scadenza del suo certificato.</t>
  </si>
  <si>
    <t xml:space="preserve">UE-06, UE-08</t>
  </si>
  <si>
    <t xml:space="preserve">Il certificato è un dato sanitario.</t>
  </si>
  <si>
    <t xml:space="preserve">UE-26</t>
  </si>
  <si>
    <t xml:space="preserve">Bloccare le prenotazioni senza ingressi</t>
  </si>
  <si>
    <t xml:space="preserve">Come gestore, voglio che chi ha finito gli ingressi non possa prenotare, così da evitare prestazioni non pagate.
Criteri di accettazione:
1) Dato che non ho ingressi disponibili, quando provo a prenotare, allora la prenotazione è rifiutata con il motivo «ingressi esauriti».</t>
  </si>
  <si>
    <t xml:space="preserve">UE-40</t>
  </si>
  <si>
    <t xml:space="preserve">Prenotare sala pesi o piscina</t>
  </si>
  <si>
    <t xml:space="preserve">Come iscritto, voglio prenotare un posto in sala pesi o in piscina nella fascia che mi serve, così da non trovare il centro pieno.</t>
  </si>
  <si>
    <t xml:space="preserve">UE-34, UE-39</t>
  </si>
  <si>
    <t xml:space="preserve">UE-44</t>
  </si>
  <si>
    <t xml:space="preserve">Evitare prenotazioni sovrapposte</t>
  </si>
  <si>
    <t xml:space="preserve">Come iscritto, voglio non poter prenotare due attività nello stesso orario, così da non impegnarmi in due posti insieme.
Criteri di accettazione:
1) Dato che sono prenotato a un corso alle 18:30, quando provo a prenotare un altro corso alle 18:30, allora la prenotazione è rifiutata con il motivo «sovrapposizione».</t>
  </si>
  <si>
    <t xml:space="preserve">La lista d'attesa su più corsi nello stesso orario è invece ammessa (UE-51).</t>
  </si>
  <si>
    <t xml:space="preserve">UE-45</t>
  </si>
  <si>
    <t xml:space="preserve">Mettermi in lista d'attesa</t>
  </si>
  <si>
    <t xml:space="preserve">Come iscritto, voglio entrare in lista d'attesa quando la lezione è piena, così da avere una possibilità se si libera un posto.
Criteri di accettazione:
1) Dato che la lezione è piena, quando scelgo la lista d'attesa, allora risulto in coda con la mia posizione.
2) Dato che sono già in coda per quella lezione, quando provo a rimettermi, allora vedo un avviso.</t>
  </si>
  <si>
    <t xml:space="preserve">E3.3 Liste d'attesa e subentri</t>
  </si>
  <si>
    <t xml:space="preserve">UE-47</t>
  </si>
  <si>
    <t xml:space="preserve">Ricevere l'offerta di subentro</t>
  </si>
  <si>
    <t xml:space="preserve">Come iscritto in lista d'attesa, voglio ricevere un'offerta quando si libera un posto, così da decidere se subentrare.
Criteri di accettazione:
1) Dato che sono il primo in lista, quando un iscritto cancella, allora ricevo l'offerta del posto con il tempo che ho per rispondere.
2) Dato che sono il secondo in lista e c'è un solo posto libero offerto al primo, quando il primo non ha ancora risposto, allora non ricevo l'offerta.</t>
  </si>
  <si>
    <t xml:space="preserve">UE-45, UE-77, SP-01</t>
  </si>
  <si>
    <t xml:space="preserve">Il primo in lista viene notificato (risposta del professore). Il caso di Marco che salta i primi due era un refuso della traccia.</t>
  </si>
  <si>
    <t xml:space="preserve">UE-48</t>
  </si>
  <si>
    <t xml:space="preserve">Accettare o rifiutare l'offerta</t>
  </si>
  <si>
    <t xml:space="preserve">Come iscritto, voglio accettare o rifiutare l'offerta di subentro entro un tempo limite, così da prendere il posto o liberarlo senza conseguenze.
Criteri di accettazione:
1) Dato che ho un'offerta aperta, quando accetto in tempo, allora la mia prenotazione è confermata e esco dalla lista.
2) Dato che ho un'offerta aperta, quando rifiuto in tempo, allora non subisco penalità e l'offerta passa al successivo.
3) Dato che il tempo limite è scaduto, quando provo ad accettare, allora vedo che l'offerta non è più valida.</t>
  </si>
  <si>
    <t xml:space="preserve">Rifiuto in tempo senza penalità: risposta del professore. E il silenzio? (D4). Tempo limite: D2.</t>
  </si>
  <si>
    <t xml:space="preserve">UE-49</t>
  </si>
  <si>
    <t xml:space="preserve">Passare l'offerta al successivo</t>
  </si>
  <si>
    <t xml:space="preserve">Come iscritto in lista d'attesa, voglio che l'offerta passi al successivo se il primo rifiuta o non risponde in tempo, così da non lasciare posti vuoti.
Criteri di accettazione:
1) Dato che il primo in lista ha un'offerta aperta, quando la rifiuta o il tempo scade, allora il secondo in lista riceve l'offerta.
2) Dato che nessuno in lista accetta, quando l'ultimo rifiuta o non risponde, allora il posto torna libero per tutti.</t>
  </si>
  <si>
    <t xml:space="preserve">UE-50</t>
  </si>
  <si>
    <t xml:space="preserve">Offrire il posto solo a chi è idoneo</t>
  </si>
  <si>
    <t xml:space="preserve">Come gestore, voglio che l'offerta vada solo a chi ha il certificato valido e ingressi disponibili, così da non assegnare posti a chi non potrebbe usarli.
Criteri di accettazione:
1) Dato che il primo in lista ha il certificato scaduto, quando si libera un posto, allora l'offerta va al successivo idoneo.
2) Dato che il primo in lista ha finito gli ingressi, quando si libera un posto, allora l'offerta va al successivo idoneo.</t>
  </si>
  <si>
    <t xml:space="preserve">UE-47, UE-12, UE-26</t>
  </si>
  <si>
    <t xml:space="preserve">Risolve il caso di Marco: l'idoneità si controlla al momento dell'offerta. Con UE-56 si aggiunge anche il blocco per penalità.</t>
  </si>
  <si>
    <t xml:space="preserve">UE-62</t>
  </si>
  <si>
    <t xml:space="preserve">Collegare l'ingresso alla prenotazione</t>
  </si>
  <si>
    <t xml:space="preserve">Come reception, voglio che l'ingresso a un corso risulti collegato alla prenotazione dell'iscritto, così da segnarne la presenza.</t>
  </si>
  <si>
    <t xml:space="preserve">UE-39, UE-60</t>
  </si>
  <si>
    <t xml:space="preserve">UE-64</t>
  </si>
  <si>
    <t xml:space="preserve">Registrare un'uscita</t>
  </si>
  <si>
    <t xml:space="preserve">Come reception, voglio registrare l'uscita di un iscritto, così da sapere chi è ancora nel centro.
Criteri di accettazione:
1) Dato che un iscritto è dentro, quando registro l'uscita, allora risulta fuori con data e ora.
2) Dato che l'iscritto non risulta dentro, quando provo a registrare l'uscita, allora vedo un avviso.</t>
  </si>
  <si>
    <t xml:space="preserve">E4.2 Uscite e presenze</t>
  </si>
  <si>
    <t xml:space="preserve">Risposta del professore: sì, si registrano anche le uscite.</t>
  </si>
  <si>
    <t xml:space="preserve">SP-05</t>
  </si>
  <si>
    <t xml:space="preserve">Spike: pagamento simulato e ricevuta</t>
  </si>
  <si>
    <t xml:space="preserve">Spike: capire cosa si simula del pagamento e come generare la ricevuta.</t>
  </si>
  <si>
    <t xml:space="preserve">S4</t>
  </si>
  <si>
    <t xml:space="preserve">UE-27</t>
  </si>
  <si>
    <t xml:space="preserve">Registrare un pagamento in reception</t>
  </si>
  <si>
    <t xml:space="preserve">Come reception, voglio registrare un pagamento (importo, data, metodo) collegato a un abbonamento, così da tenere traccia di ciò che incassa il centro.</t>
  </si>
  <si>
    <t xml:space="preserve">E2.4 Pagamenti e ricevute</t>
  </si>
  <si>
    <t xml:space="preserve">UE-28</t>
  </si>
  <si>
    <t xml:space="preserve">Emettere la ricevuta</t>
  </si>
  <si>
    <t xml:space="preserve">Come iscritto, voglio ricevere una ricevuta per ogni pagamento, così da avere la prova del versamento.</t>
  </si>
  <si>
    <t xml:space="preserve">Risposta del professore: la ricevuta è obbligatoria, sia in reception sia da sistema.</t>
  </si>
  <si>
    <t xml:space="preserve">UE-54</t>
  </si>
  <si>
    <t xml:space="preserve">Penalità per cancellazione tardiva con abbonamento a tempo</t>
  </si>
  <si>
    <t xml:space="preserve">Come gestore, voglio che chi ha un abbonamento mensile o annuale e cancella a meno di 2 ore dall'inizio riceva una penalità, così da scoraggiare le cancellazioni all'ultimo anche senza ingressi da scalare.</t>
  </si>
  <si>
    <t xml:space="preserve">E3.4 Priorità e penalità</t>
  </si>
  <si>
    <t xml:space="preserve">Risposta del professore: entra in gioco la policy sulle priorità, vincoli scelti da noi (D3).</t>
  </si>
  <si>
    <t xml:space="preserve">UE-55</t>
  </si>
  <si>
    <t xml:space="preserve">Segnare chi non si presenta</t>
  </si>
  <si>
    <t xml:space="preserve">Come gestore, voglio che chi prenota e non si presenta venga segnato come assente e penalizzato, così da ridurre i posti sprecati.</t>
  </si>
  <si>
    <t xml:space="preserve">UE-62, UE-54</t>
  </si>
  <si>
    <t xml:space="preserve">UE-56</t>
  </si>
  <si>
    <t xml:space="preserve">Bloccare temporaneamente le prenotazioni</t>
  </si>
  <si>
    <t xml:space="preserve">Come gestore, voglio che chi è penalizzato non possa prenotare per un periodo stabilito, così da ridurre le assenze ripetute.</t>
  </si>
  <si>
    <t xml:space="preserve">Durata da decidere (D3): proposta 5 giorni.</t>
  </si>
  <si>
    <t xml:space="preserve">UE-25</t>
  </si>
  <si>
    <t xml:space="preserve">Perdere l'ingresso se cancello tardi o non mi presento</t>
  </si>
  <si>
    <t xml:space="preserve">Come gestore, voglio che chi cancella a meno di 2 ore dall'inizio o non si presenta perda l'ingresso riservato, così da scoraggiare le assenze all'ultimo momento.</t>
  </si>
  <si>
    <t xml:space="preserve">UE-22, UE-42, UE-55</t>
  </si>
  <si>
    <t xml:space="preserve">UE-68</t>
  </si>
  <si>
    <t xml:space="preserve">Assegnare titolare e supplenti a un corso</t>
  </si>
  <si>
    <t xml:space="preserve">Come gestore, voglio assegnare a un corso un istruttore titolare e uno o più supplenti, così da avere sempre un sostituto previsto.</t>
  </si>
  <si>
    <t xml:space="preserve">E4.3 Istruttori</t>
  </si>
  <si>
    <t xml:space="preserve">UE-35, UE-07</t>
  </si>
  <si>
    <t xml:space="preserve">Un istruttore può insegnare più corsi. Titolare e supplenti vengono dalle note di altri gruppi (D14).</t>
  </si>
  <si>
    <t xml:space="preserve">UE-70</t>
  </si>
  <si>
    <t xml:space="preserve">Segnalare che non posso tenere una lezione</t>
  </si>
  <si>
    <t xml:space="preserve">Come istruttore titolare, voglio segnalare che non posso tenere una lezione, così da dare tempo al centro di trovare un sostituto.</t>
  </si>
  <si>
    <t xml:space="preserve">UE-72</t>
  </si>
  <si>
    <t xml:space="preserve">Proporre la sostituzione ai supplenti</t>
  </si>
  <si>
    <t xml:space="preserve">Come istruttore supplente, voglio ricevere la richiesta di sostituire una lezione e accettare o rifiutare, così da dare la mia disponibilità solo se posso.</t>
  </si>
  <si>
    <t xml:space="preserve">E4.4 Sostituzioni e annullamenti</t>
  </si>
  <si>
    <t xml:space="preserve">UE-70, UE-77</t>
  </si>
  <si>
    <t xml:space="preserve">UE-73</t>
  </si>
  <si>
    <t xml:space="preserve">Avvisare gli iscritti del cambio di istruttore</t>
  </si>
  <si>
    <t xml:space="preserve">Come iscritto prenotato, voglio essere avvisato se cambia l'istruttore, così da decidere se partecipare comunque.</t>
  </si>
  <si>
    <t xml:space="preserve">UE-72, UE-77</t>
  </si>
  <si>
    <t xml:space="preserve">UE-74</t>
  </si>
  <si>
    <t xml:space="preserve">Annullare la lezione se nessun supplente accetta</t>
  </si>
  <si>
    <t xml:space="preserve">Come gestore, voglio che la lezione venga annullata se nessun supplente accetta entro un tempo limite, così da non lasciare gli iscritti nell'incertezza.</t>
  </si>
  <si>
    <t xml:space="preserve">UE-72, SP-01</t>
  </si>
  <si>
    <t xml:space="preserve">UE-76</t>
  </si>
  <si>
    <t xml:space="preserve">Avvisare gli iscritti dell'annullamento</t>
  </si>
  <si>
    <t xml:space="preserve">Come iscritto prenotato, voglio essere avvisato se la lezione viene annullata, così da non presentarmi inutilmente.</t>
  </si>
  <si>
    <t xml:space="preserve">UE-74, UE-77</t>
  </si>
  <si>
    <t xml:space="preserve">UE-24</t>
  </si>
  <si>
    <t xml:space="preserve">Riavere l'ingresso se la lezione salta</t>
  </si>
  <si>
    <t xml:space="preserve">Come iscritto, voglio riavere automaticamente l'ingresso se la lezione viene annullata, così da non pagare un servizio non erogato.</t>
  </si>
  <si>
    <t xml:space="preserve">UE-22, UE-74</t>
  </si>
  <si>
    <t xml:space="preserve">Risposta del professore: l'ingresso torna in automatico.</t>
  </si>
  <si>
    <t xml:space="preserve">UE-79</t>
  </si>
  <si>
    <t xml:space="preserve">Vedere l'affluenza per fascia oraria e giorno</t>
  </si>
  <si>
    <t xml:space="preserve">Come gestore, voglio vedere gli ingressi per fascia oraria e giorno della settimana, così da capire quando il centro è pieno o vuoto.</t>
  </si>
  <si>
    <t xml:space="preserve">Tema 5 · Monitoraggio e statistiche del gestore</t>
  </si>
  <si>
    <t xml:space="preserve">E5.1 Affluenza e occupazione</t>
  </si>
  <si>
    <t xml:space="preserve">UE-60, UE-64</t>
  </si>
  <si>
    <t xml:space="preserve">UE-83</t>
  </si>
  <si>
    <t xml:space="preserve">Conservare lo storico delle lezioni</t>
  </si>
  <si>
    <t xml:space="preserve">Come gestore, voglio conservare per ogni corso lo storico delle lezioni svolte e annullate, così da valutarne l'andamento.</t>
  </si>
  <si>
    <t xml:space="preserve">E5.3 Storico corsi e chiusura</t>
  </si>
  <si>
    <t xml:space="preserve">Poi</t>
  </si>
  <si>
    <t xml:space="preserve">Richiesto dal professore (storico dei corsi).</t>
  </si>
  <si>
    <t xml:space="preserve">UE-80</t>
  </si>
  <si>
    <t xml:space="preserve">Vedere l'occupazione dei corsi</t>
  </si>
  <si>
    <t xml:space="preserve">Come gestore, voglio vedere l'occupazione di ogni corso (iscritti su posti disponibili), così da individuare i corsi poco frequentati.</t>
  </si>
  <si>
    <t xml:space="preserve">UE-81</t>
  </si>
  <si>
    <t xml:space="preserve">Vedere gli incassi per periodo e tipo</t>
  </si>
  <si>
    <t xml:space="preserve">Come gestore, voglio vedere gli incassi per periodo e tipo di abbonamento, così da capire cosa rende di più.</t>
  </si>
  <si>
    <t xml:space="preserve">E5.2 Incassi e abbonamenti</t>
  </si>
  <si>
    <t xml:space="preserve">UE-02</t>
  </si>
  <si>
    <t xml:space="preserve">Registrarmi da solo</t>
  </si>
  <si>
    <t xml:space="preserve">Come nuovo iscritto, voglio registrarmi da solo con i miei dati, così da non dover passare dalla reception per iniziare.</t>
  </si>
  <si>
    <t xml:space="preserve">Da decidere (D11): l'iscritto crea da solo il proprio account o solo la reception?</t>
  </si>
  <si>
    <t xml:space="preserve">UE-03</t>
  </si>
  <si>
    <t xml:space="preserve">Correggere i dati di un iscritto</t>
  </si>
  <si>
    <t xml:space="preserve">Come reception, voglio correggere i dati anagrafici di un iscritto, così da mantenere l'anagrafica corretta quando cambiano recapiti o altri dati.</t>
  </si>
  <si>
    <t xml:space="preserve">UE-37</t>
  </si>
  <si>
    <t xml:space="preserve">Modificare o annullare una singola lezione</t>
  </si>
  <si>
    <t xml:space="preserve">Come gestore, voglio modificare o annullare una singola lezione senza toccare l'intero corso, così da gestire festivi e imprevisti.</t>
  </si>
  <si>
    <t xml:space="preserve">UE-38</t>
  </si>
  <si>
    <t xml:space="preserve">Fissare la soglia minima di un corso</t>
  </si>
  <si>
    <t xml:space="preserve">Come gestore, voglio indicare per ogni corso un numero minimo di iscritti, così da decidere quando non conviene tenerlo.</t>
  </si>
  <si>
    <t xml:space="preserve">La soglia tiene conto di iscritti e compenso dell'istruttore (risposta del professore).</t>
  </si>
  <si>
    <t xml:space="preserve">UE-41</t>
  </si>
  <si>
    <t xml:space="preserve">Prenotare per conto di un iscritto</t>
  </si>
  <si>
    <t xml:space="preserve">Come reception, voglio prenotare un posto per un iscritto che chiama o è al banco, così da servire anche chi non usa il sistema.</t>
  </si>
  <si>
    <t xml:space="preserve">UE-39, UE-04</t>
  </si>
  <si>
    <t xml:space="preserve">UE-13</t>
  </si>
  <si>
    <t xml:space="preserve">Avvisi di scadenza del certificato</t>
  </si>
  <si>
    <t xml:space="preserve">Come iscritto, voglio ricevere avvisi prima che il mio certificato scada (6 mesi, 1 mese, 1 settimana, 4 giorni e 1 giorno prima), così da rinnovarlo in tempo.</t>
  </si>
  <si>
    <t xml:space="preserve">UE-11, UE-77, SP-01</t>
  </si>
  <si>
    <t xml:space="preserve">Scaglioni presi dalle note di altri gruppi (D14).</t>
  </si>
  <si>
    <t xml:space="preserve">UE-29</t>
  </si>
  <si>
    <t xml:space="preserve">Pagare dal sistema</t>
  </si>
  <si>
    <t xml:space="preserve">Come iscritto, voglio pagare un abbonamento direttamente dal sistema, così da attivarlo senza passare in reception.</t>
  </si>
  <si>
    <t xml:space="preserve">UE-18, UE-28, SP-05</t>
  </si>
  <si>
    <t xml:space="preserve">Il pagamento può essere simulato (SP-05).</t>
  </si>
  <si>
    <t xml:space="preserve">UE-20</t>
  </si>
  <si>
    <t xml:space="preserve">Acquistare o rinnovare da solo</t>
  </si>
  <si>
    <t xml:space="preserve">Come iscritto, voglio acquistare o rinnovare il mio abbonamento dal sistema, così da non dover andare in reception.</t>
  </si>
  <si>
    <t xml:space="preserve">UE-15, UE-29</t>
  </si>
  <si>
    <t xml:space="preserve">UE-16</t>
  </si>
  <si>
    <t xml:space="preserve">Modificare o ritirare un tipo di abbonamento</t>
  </si>
  <si>
    <t xml:space="preserve">Come gestore, voglio modificare o ritirare un tipo di abbonamento senza toccare quelli già venduti, così da aggiornare il listino senza danneggiare i clienti.</t>
  </si>
  <si>
    <t xml:space="preserve">UE-15, UE-18</t>
  </si>
  <si>
    <t xml:space="preserve">UE-17</t>
  </si>
  <si>
    <t xml:space="preserve">Abbonamento ridotto per studenti</t>
  </si>
  <si>
    <t xml:space="preserve">Come gestore, voglio un abbonamento ridotto per studenti valido solo in una fascia mattutina, così da attirare studenti senza ridurre gli incassi nelle ore di punta.</t>
  </si>
  <si>
    <t xml:space="preserve">UE-15, UE-39</t>
  </si>
  <si>
    <t xml:space="preserve">Fascia proposta 08:00-13:30; come si verifica lo stato di studente? (D7)</t>
  </si>
  <si>
    <t xml:space="preserve">UE-30</t>
  </si>
  <si>
    <t xml:space="preserve">Congelare un abbonamento</t>
  </si>
  <si>
    <t xml:space="preserve">Come reception, voglio congelare l'abbonamento di un iscritto infortunato dopo aver verificato il certificato di infortunio, così da sospenderlo senza fargli perdere giorni.</t>
  </si>
  <si>
    <t xml:space="preserve">E2.5 Congelamento per infortunio</t>
  </si>
  <si>
    <t xml:space="preserve">UE-18, UE-08</t>
  </si>
  <si>
    <t xml:space="preserve">UE-31</t>
  </si>
  <si>
    <t xml:space="preserve">Limitare il congelamento a 30 giorni</t>
  </si>
  <si>
    <t xml:space="preserve">Come gestore, voglio che i giorni di congelamento non superino 30 per anno di abbonamento (anche frazionati), così da rispettare le regole del centro.
Criteri di accettazione:
1) Dato che ho già congelato 10 giorni nell'anno, quando ne richiedo 25, allora il congelamento è rifiutato e vedo i 20 giorni residui.</t>
  </si>
  <si>
    <t xml:space="preserve">Anno = dalla data di iscrizione alla scadenza dell'abbonamento; giorni cumulabili (risposta del professore).</t>
  </si>
  <si>
    <t xml:space="preserve">UE-32</t>
  </si>
  <si>
    <t xml:space="preserve">Spostare la scadenza dopo il congelamento</t>
  </si>
  <si>
    <t xml:space="preserve">Come iscritto, voglio che la scadenza dell'abbonamento slitti dei giorni congelati, così da non perdere giorni già pagati.</t>
  </si>
  <si>
    <t xml:space="preserve">Non chiarito dal professore (D10).</t>
  </si>
  <si>
    <t xml:space="preserve">UE-33</t>
  </si>
  <si>
    <t xml:space="preserve">Gestire le prenotazioni durante il congelamento</t>
  </si>
  <si>
    <t xml:space="preserve">Come iscritto con abbonamento congelato, voglio che le prenotazioni nel periodo vengano annullate e non se ne possano fare di nuove, così da non perdere ingressi o ricevere penalità.</t>
  </si>
  <si>
    <t xml:space="preserve">UE-30, UE-39</t>
  </si>
  <si>
    <t xml:space="preserve">UE-46</t>
  </si>
  <si>
    <t xml:space="preserve">Vedere la mia posizione in lista</t>
  </si>
  <si>
    <t xml:space="preserve">Come iscritto, voglio vedere la mia posizione in lista d'attesa, così da capire se conviene aspettare.</t>
  </si>
  <si>
    <t xml:space="preserve">UE-51</t>
  </si>
  <si>
    <t xml:space="preserve">Stare in lista su più corsi nello stesso orario</t>
  </si>
  <si>
    <t xml:space="preserve">Come iscritto, voglio restare in lista d'attesa per più corsi nello stesso orario, così da avere più possibilità di entrare in uno.</t>
  </si>
  <si>
    <t xml:space="preserve">UE-45, UE-44</t>
  </si>
  <si>
    <t xml:space="preserve">Ammesso, a differenza delle prenotazioni.</t>
  </si>
  <si>
    <t xml:space="preserve">UE-52</t>
  </si>
  <si>
    <t xml:space="preserve">Chiudere le altre liste quando confermo un subentro</t>
  </si>
  <si>
    <t xml:space="preserve">Come iscritto, voglio che confermando un subentro vengano tolte le mie liste d'attesa dello stesso orario, così da non ricevere offerte inutili.</t>
  </si>
  <si>
    <t xml:space="preserve">UE-51, UE-48</t>
  </si>
  <si>
    <t xml:space="preserve">UE-57</t>
  </si>
  <si>
    <t xml:space="preserve">Vedere il mio stato di penalità</t>
  </si>
  <si>
    <t xml:space="preserve">Come iscritto, voglio sapere se sono penalizzato e fino a quando, così da capire perché non posso prenotare.</t>
  </si>
  <si>
    <t xml:space="preserve">UE-58</t>
  </si>
  <si>
    <t xml:space="preserve">Dare più priorità a chi resta sempre fuori</t>
  </si>
  <si>
    <t xml:space="preserve">Come iscritto che non riesce mai a subentrare allo stesso corso, voglio guadagnare priorità nelle settimane successive, così da avere una possibilità equa di entrare.</t>
  </si>
  <si>
    <t xml:space="preserve">UE-45, UE-47</t>
  </si>
  <si>
    <t xml:space="preserve">Da verificare col professore: viene dalle note di altri gruppi, con la frase tagliata (D5).</t>
  </si>
  <si>
    <t xml:space="preserve">UE-59</t>
  </si>
  <si>
    <t xml:space="preserve">Configurare i parametri delle regole</t>
  </si>
  <si>
    <t xml:space="preserve">Come gestore, voglio configurare durata della penalità, tempo di risposta al subentro e numero di tentativi per la priorità, così da adattare le regole senza dover cambiare il sistema.</t>
  </si>
  <si>
    <t xml:space="preserve">UE-48, UE-56</t>
  </si>
  <si>
    <t xml:space="preserve">UE-65</t>
  </si>
  <si>
    <t xml:space="preserve">Vedere chi è presente ora</t>
  </si>
  <si>
    <t xml:space="preserve">Come reception, voglio vedere quante persone sono presenti ora in ogni struttura rispetto alla capienza, così da sapere se c'è posto.</t>
  </si>
  <si>
    <t xml:space="preserve">UE-64, UE-34</t>
  </si>
  <si>
    <t xml:space="preserve">Uscite dimenticate: chiusura automatica a fine giornata? (D12)</t>
  </si>
  <si>
    <t xml:space="preserve">UE-63</t>
  </si>
  <si>
    <t xml:space="preserve">Ingresso senza prenotazione in sala pesi o piscina</t>
  </si>
  <si>
    <t xml:space="preserve">Come reception, voglio registrare l'ingresso senza prenotazione in sala pesi o piscina quando c'è posto, così da accogliere chi non ha prenotato.</t>
  </si>
  <si>
    <t xml:space="preserve">UE-60, UE-65</t>
  </si>
  <si>
    <t xml:space="preserve">Da chiedere al professore (D8).</t>
  </si>
  <si>
    <t xml:space="preserve">UE-66</t>
  </si>
  <si>
    <t xml:space="preserve">Vedere i posti liberi in sala pesi e piscina</t>
  </si>
  <si>
    <t xml:space="preserve">Come iscritto, voglio vedere quanti posti restano in sala pesi o in piscina nella fascia scelta, così da decidere quando andare.</t>
  </si>
  <si>
    <t xml:space="preserve">UE-40, UE-65</t>
  </si>
  <si>
    <t xml:space="preserve">UE-67</t>
  </si>
  <si>
    <t xml:space="preserve">Indicare le mie disponibilità</t>
  </si>
  <si>
    <t xml:space="preserve">Come istruttore, voglio comunicare le mie disponibilità settimanali, così da essere assegnato solo quando posso.</t>
  </si>
  <si>
    <t xml:space="preserve">UE-69</t>
  </si>
  <si>
    <t xml:space="preserve">Vedere i miei corsi e i prenotati</t>
  </si>
  <si>
    <t xml:space="preserve">Come istruttore, voglio vedere i miei corsi e chi è prenotato a ciascuna lezione, così da prepararmi.</t>
  </si>
  <si>
    <t xml:space="preserve">UE-68, UE-39</t>
  </si>
  <si>
    <t xml:space="preserve">UE-71</t>
  </si>
  <si>
    <t xml:space="preserve">Vedere i buchi nell'orario degli istruttori</t>
  </si>
  <si>
    <t xml:space="preserve">Come gestore, voglio una vista settimanale di disponibilità, lezioni coperte e lezioni senza istruttore per sala, così da ridurre i buchi nell'orario.</t>
  </si>
  <si>
    <t xml:space="preserve">UE-67, UE-68</t>
  </si>
  <si>
    <t xml:space="preserve">È l'obiettivo dichiarato del gestore. Basta mostrare i buchi o deve proporre soluzioni? (D17)</t>
  </si>
  <si>
    <t xml:space="preserve">UE-75</t>
  </si>
  <si>
    <t xml:space="preserve">Segnalare le lezioni sotto la soglia minima</t>
  </si>
  <si>
    <t xml:space="preserve">Come gestore, voglio essere avvisato quando una lezione ha meno iscritti della soglia minima a poche ore dall'inizio, così da decidere se tenerla.</t>
  </si>
  <si>
    <t xml:space="preserve">UE-38, UE-77</t>
  </si>
  <si>
    <t xml:space="preserve">UE-78</t>
  </si>
  <si>
    <t xml:space="preserve">Ricevere gli avvisi anche via e-mail</t>
  </si>
  <si>
    <t xml:space="preserve">Come iscritto, voglio ricevere gli avvisi importanti anche via e-mail, così da vederli senza aprire il sistema.</t>
  </si>
  <si>
    <t xml:space="preserve">UE-82</t>
  </si>
  <si>
    <t xml:space="preserve">Vedere l'andamento degli abbonamenti</t>
  </si>
  <si>
    <t xml:space="preserve">Come gestore, voglio vedere nuovi abbonamenti, rinnovi e scadenze nel tempo, così da prevedere gli incassi.</t>
  </si>
  <si>
    <t xml:space="preserve">UE-84</t>
  </si>
  <si>
    <t xml:space="preserve">Segnalare i corsi con troppi annullamenti</t>
  </si>
  <si>
    <t xml:space="preserve">Come gestore, voglio essere avvisato quando un corso supera la percentuale di annullamenti fissata (ad esempio il 70% delle ultime lezioni), così da decidere se chiuderlo.</t>
  </si>
  <si>
    <t xml:space="preserve">UE-83, UE-74</t>
  </si>
  <si>
    <t xml:space="preserve">Su quali lezioni si calcola il 70%? (D18)</t>
  </si>
  <si>
    <t xml:space="preserve">UE-85</t>
  </si>
  <si>
    <t xml:space="preserve">Chiudere un corso</t>
  </si>
  <si>
    <t xml:space="preserve">Come gestore, voglio chiudere definitivamente un corso e gestire le prenotazioni già fatte, così da aggiornare il palinsesto.</t>
  </si>
  <si>
    <t xml:space="preserve">UE-53</t>
  </si>
  <si>
    <t xml:space="preserve">Uscire da una lista d'attesa</t>
  </si>
  <si>
    <t xml:space="preserve">Come iscritto, voglio uscire da una lista d'attesa, così da non ricevere offerte che non voglio più.</t>
  </si>
  <si>
    <t xml:space="preserve">Cosa copre</t>
  </si>
  <si>
    <t xml:space="preserve">N. voci</t>
  </si>
  <si>
    <t xml:space="preserve">di cui valore Alto</t>
  </si>
  <si>
    <t xml:space="preserve">Perché in questo ordine</t>
  </si>
  <si>
    <t xml:space="preserve">Creare, correggere e cercare gli iscritti.</t>
  </si>
  <si>
    <t xml:space="preserve">Senza iscritti in anagrafica non si può fare nulla. La prima storia è piccola e chiara: candidata a storia di riferimento per le stime.</t>
  </si>
  <si>
    <t xml:space="preserve">Login, funzioni per ruolo, persone con più ruoli.</t>
  </si>
  <si>
    <t xml:space="preserve">Il professore ha chiarito che iscritti, istruttori e reception usano lo stesso sistema: i permessi vanno costruiti prima delle funzioni sensibili.</t>
  </si>
  <si>
    <t xml:space="preserve">Registrazione, caricamento, validazione, stato, blocco delle prenotazioni, avvisi, privacy.</t>
  </si>
  <si>
    <t xml:space="preserve">È il problema più sentito dalla reception (certificati scaduti agli ingressi): il certificato cartaceo entra subito, il resto segue.</t>
  </si>
  <si>
    <t xml:space="preserve">Listino: tipi, servizi inclusi, fasce orarie, prezzi.</t>
  </si>
  <si>
    <t xml:space="preserve">Serve il listino per vendere abbonamenti e per sapere cosa un iscritto può fare.</t>
  </si>
  <si>
    <t xml:space="preserve">Vendita in reception, vista dell'iscritto, rinnovo.</t>
  </si>
  <si>
    <t xml:space="preserve">Collega iscritti e listino: abilita il controllo degli ingressi già nel primo sprint.</t>
  </si>
  <si>
    <t xml:space="preserve">Riserva, consumo, restituzione e perdita degli ingressi.</t>
  </si>
  <si>
    <t xml:space="preserve">Dipende dalle prenotazioni: viene dopo il palinsesto. Le regole su restituzione e perdita sono dettate dal professore.</t>
  </si>
  <si>
    <t xml:space="preserve">Registrare i pagamenti, emettere ricevute, pagare dal sistema.</t>
  </si>
  <si>
    <t xml:space="preserve">Obbligatori per gli incassi, ma non bloccano le funzioni principali: arrivano dopo il nucleo di prenotazioni.</t>
  </si>
  <si>
    <t xml:space="preserve">Congelare, limite di 30 giorni l'anno, scadenza, prenotazioni.</t>
  </si>
  <si>
    <t xml:space="preserve">Regola importante ma poco frequente, con molti punti ancora aperti: dopo il nucleo.</t>
  </si>
  <si>
    <t xml:space="preserve">Strutture con capienza, corsi fissi, lezioni, soglia minima.</t>
  </si>
  <si>
    <t xml:space="preserve">Senza strutture e corsi non c'è nulla da prenotare.</t>
  </si>
  <si>
    <t xml:space="preserve">Prenotare, cancellare, vedere le proprie prenotazioni, evitare sovrapposizioni.</t>
  </si>
  <si>
    <t xml:space="preserve">Risolve il problema delle liti sui posti: è il valore più alto per gli iscritti.</t>
  </si>
  <si>
    <t xml:space="preserve">Coda, offerta di subentro con tempo limite, idoneità, più liste nello stesso orario.</t>
  </si>
  <si>
    <t xml:space="preserve">È la parte con più regole e casi limite (caso di Marco): serve dopo prenotazioni e notifiche.</t>
  </si>
  <si>
    <t xml:space="preserve">Penalità per cancellazioni tardive e assenze, blocco temporaneo, bonus di priorità.</t>
  </si>
  <si>
    <t xml:space="preserve">Scoraggia assenze e cancellazioni tardive; dipende da prenotazioni, ingressi e liste d'attesa.</t>
  </si>
  <si>
    <t xml:space="preserve">Registrare l'ingresso con esito e motivo del rifiuto.</t>
  </si>
  <si>
    <t xml:space="preserve">Risponde al problema principale della reception: la prima versione è già nello sprint 1.</t>
  </si>
  <si>
    <t xml:space="preserve">Registrare le uscite, vedere chi è presente, posti liberi per fascia.</t>
  </si>
  <si>
    <t xml:space="preserve">Serve al gestore per sapere quando il centro è pieno e alle capienze di sala pesi e piscina.</t>
  </si>
  <si>
    <t xml:space="preserve">Disponibilità, titolari e supplenti, i miei corsi, buchi d'orario.</t>
  </si>
  <si>
    <t xml:space="preserve">Servono per la riduzione dei buchi d'orario e per le supplenze.</t>
  </si>
  <si>
    <t xml:space="preserve">Richiesta ai supplenti, avvisi di cambio istruttore, annullamento della lezione.</t>
  </si>
  <si>
    <t xml:space="preserve">Gestisce le supplenze e l'annullamento con avvisi e rimborso degli ingressi.</t>
  </si>
  <si>
    <t xml:space="preserve">Elenco delle notifiche nel sistema, e-mail.</t>
  </si>
  <si>
    <t xml:space="preserve">Attraversa molte epic (subentri, annullamenti, scadenze): conviene fare presto la versione minima nel sistema.</t>
  </si>
  <si>
    <t xml:space="preserve">Ingressi per fascia e giorno, occupazione dei corsi.</t>
  </si>
  <si>
    <t xml:space="preserve">Richiede dati già raccolti: arriva dopo ingressi e uscite.</t>
  </si>
  <si>
    <t xml:space="preserve">Incassi per periodo e tipo, andamento degli abbonamenti.</t>
  </si>
  <si>
    <t xml:space="preserve">Dipende dai pagamenti registrati.</t>
  </si>
  <si>
    <t xml:space="preserve">Storico delle lezioni, segnalazione dei corsi con troppi annullamenti, chiusura.</t>
  </si>
  <si>
    <t xml:space="preserve">Serve prima lo storico delle lezioni; la chiusura del corso è l'ultima decisione del gestore.</t>
  </si>
  <si>
    <t xml:space="preserve">Progetto, database, test, integrazione continua.</t>
  </si>
  <si>
    <t xml:space="preserve">Base su cui poggiano le storie del primo sprint: si fanno insieme a esse, non da soli.</t>
  </si>
  <si>
    <t xml:space="preserve">Indagini brevi su tempi limite, concorrenza, file e avvisi.</t>
  </si>
  <si>
    <t xml:space="preserve">Riducono l'incertezza prima di stimare e costruire le storie che ne dipendono.</t>
  </si>
  <si>
    <t xml:space="preserve">Totale</t>
  </si>
  <si>
    <t xml:space="preserve">Codice</t>
  </si>
  <si>
    <t xml:space="preserve">Argomento</t>
  </si>
  <si>
    <t xml:space="preserve">Domanda o proposta</t>
  </si>
  <si>
    <t xml:space="preserve">Voci coinvolte</t>
  </si>
  <si>
    <t xml:space="preserve">Da chiedere al professore?</t>
  </si>
  <si>
    <t xml:space="preserve">Decisione del gruppo</t>
  </si>
  <si>
    <t xml:space="preserve">D1</t>
  </si>
  <si>
    <t xml:space="preserve">Crediti</t>
  </si>
  <si>
    <t xml:space="preserve">Quando si riserva, si consuma e si restituisce un ingresso? Proposta: riserva alla prenotazione confermata (o subentro accettato); consumo all'ingresso registrato; perdita se cancello a meno di 2 ore o non mi presento; restituzione se cancello in tempo o se la lezione è annullata.</t>
  </si>
  <si>
    <t xml:space="preserve">UE-21, UE-22, UE-23, UE-24, UE-25</t>
  </si>
  <si>
    <t xml:space="preserve">No (scelta nostra)</t>
  </si>
  <si>
    <t xml:space="preserve">D2</t>
  </si>
  <si>
    <t xml:space="preserve">Subentri</t>
  </si>
  <si>
    <t xml:space="preserve">La tabella con 4 finestre di tempo (3 ore, 1 ora, 30 minuti, 15 minuti) più un secondo avviso è molto complessa. Proposta: partire con un solo tempo limite configurabile e aggiungere finestre solo se serve.</t>
  </si>
  <si>
    <t xml:space="preserve">UE-47, UE-48, UE-59, SP-01</t>
  </si>
  <si>
    <t xml:space="preserve">D3</t>
  </si>
  <si>
    <t xml:space="preserve">Penalità</t>
  </si>
  <si>
    <t xml:space="preserve">Il blocco dura 5 giorni oppure vale per «il turno successivo»? Va scelta un'unica regola (proposta: 5 giorni, per lo stesso tipo di corso) e chiarito se vale per tutte le attività.</t>
  </si>
  <si>
    <t xml:space="preserve">UE-54, UE-55, UE-56</t>
  </si>
  <si>
    <t xml:space="preserve">D4</t>
  </si>
  <si>
    <t xml:space="preserve">Se l'iscritto non risponde all'offerta, subisce penalità? Il professore ha detto solo che rifiutare in tempo non ne comporta. Proposta: il silenzio vale come rifiuto tardivo.</t>
  </si>
  <si>
    <t xml:space="preserve">UE-48, UE-49</t>
  </si>
  <si>
    <t xml:space="preserve">Conviene chiedere</t>
  </si>
  <si>
    <t xml:space="preserve">D5</t>
  </si>
  <si>
    <t xml:space="preserve">Priorità</t>
  </si>
  <si>
    <t xml:space="preserve">Il bonus di priorità per chi non riesce mai a subentrare compare nelle note di altri gruppi con la frase tagliata. Il professore l'ha detto davvero?</t>
  </si>
  <si>
    <t xml:space="preserve">Sì</t>
  </si>
  <si>
    <t xml:space="preserve">D6</t>
  </si>
  <si>
    <t xml:space="preserve">Listino</t>
  </si>
  <si>
    <t xml:space="preserve">La traccia parla di un abbonamento a 10 ingressi, mentre la vostra tabella prezzi ha pacchetti da 8 e da 12. Aggiungere il pacchetto da 10 (prezzo coerente, ad esempio intorno ai 100 euro) per restare fedeli alla traccia.</t>
  </si>
  <si>
    <t xml:space="preserve">UE-15, UE-16</t>
  </si>
  <si>
    <t xml:space="preserve">D7</t>
  </si>
  <si>
    <t xml:space="preserve">Studenti</t>
  </si>
  <si>
    <t xml:space="preserve">«Mattina» significa che l'attività inizia entro le 13:30? Come si verifica lo stato di studente?</t>
  </si>
  <si>
    <t xml:space="preserve">D8</t>
  </si>
  <si>
    <t xml:space="preserve">Ingressi</t>
  </si>
  <si>
    <t xml:space="preserve">In sala pesi e in piscina si può entrare senza prenotazione se c'è posto, o la prenotazione è sempre obbligatoria?</t>
  </si>
  <si>
    <t xml:space="preserve">UE-40, UE-63</t>
  </si>
  <si>
    <t xml:space="preserve">D9</t>
  </si>
  <si>
    <t xml:space="preserve">La reception può forzare un ingresso con certificato scaduto? Il professore non ha risposto. Coerente con il blocco totale: non consentito.</t>
  </si>
  <si>
    <t xml:space="preserve">D10</t>
  </si>
  <si>
    <t xml:space="preserve">Congelamento</t>
  </si>
  <si>
    <t xml:space="preserve">La scadenza dell'abbonamento slitta dei giorni congelati? Le prenotazioni nel periodo si annullano? Non chiarito. Proposta: sì a entrambe.</t>
  </si>
  <si>
    <t xml:space="preserve">UE-30, UE-32, UE-33</t>
  </si>
  <si>
    <t xml:space="preserve">D11</t>
  </si>
  <si>
    <t xml:space="preserve">Registrazione</t>
  </si>
  <si>
    <t xml:space="preserve">L'iscritto crea da solo il proprio account oppure lo crea sempre la reception?</t>
  </si>
  <si>
    <t xml:space="preserve">D12</t>
  </si>
  <si>
    <t xml:space="preserve">Uscite</t>
  </si>
  <si>
    <t xml:space="preserve">Se la reception dimentica di registrare un'uscita, si chiude automaticamente a fine giornata? Proposta: sì, all'orario di chiusura.</t>
  </si>
  <si>
    <t xml:space="preserve">UE-64, UE-65</t>
  </si>
  <si>
    <t xml:space="preserve">D13</t>
  </si>
  <si>
    <t xml:space="preserve">Certificato</t>
  </si>
  <si>
    <t xml:space="preserve">Il certificato si controlla alla data della lezione? Se scade oggi, si può prenotare la lezione di domani? Proposta: sì, la validità si controlla alla data dell'attività.</t>
  </si>
  <si>
    <t xml:space="preserve">D14</t>
  </si>
  <si>
    <t xml:space="preserve">Fonte delle regole</t>
  </si>
  <si>
    <t xml:space="preserve">Alcune regole vengono dalle note di altri gruppi e non dalle nostre risposte: blocco totale delle prenotazioni senza certificato, avvisi a 6 mesi, 1 mese, 1 settimana, 4 giorni e 1 giorno, crediti/token, corsi fissi con titolare e supplenti. Confermare che valgano anche per noi.</t>
  </si>
  <si>
    <t xml:space="preserve">UE-12, UE-13, UE-68</t>
  </si>
  <si>
    <t xml:space="preserve">D15</t>
  </si>
  <si>
    <t xml:space="preserve">Tecnologie</t>
  </si>
  <si>
    <t xml:space="preserve">App solo desktop o è ammessa una versione web? Un database condiviso su server va bene? Dalle note non è chiaro.</t>
  </si>
  <si>
    <t xml:space="preserve">D16</t>
  </si>
  <si>
    <t xml:space="preserve">Consegna</t>
  </si>
  <si>
    <t xml:space="preserve">Quante voci deve contenere il backlog consegnato? Il pannello «Sprint Planning» del template mostra «1 / 26»: controllare se la formula si estende alle righe aggiunte.</t>
  </si>
  <si>
    <t xml:space="preserve">Tutte</t>
  </si>
  <si>
    <t xml:space="preserve">D17</t>
  </si>
  <si>
    <t xml:space="preserve">Istruttori</t>
  </si>
  <si>
    <t xml:space="preserve">Per ridurre i buchi d'orario basta una vista chiara o il sistema deve proporre sostituzioni e riassegnazioni?</t>
  </si>
  <si>
    <t xml:space="preserve">D18</t>
  </si>
  <si>
    <t xml:space="preserve">Storico corsi</t>
  </si>
  <si>
    <t xml:space="preserve">Il 70% di annullamenti si calcola sugli ultimi 30 giorni o sulle ultime 10 lezioni? Il vostro documento riporta entrambe le alternative: sceglierne una.</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</si>
</sst>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FFFFFF"/>
      <name val="Arial"/>
      <family val="0"/>
      <charset val="1"/>
    </font>
  </fonts>
  <fills count="9">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E4DFEC"/>
        <bgColor rgb="FFDDEBF7"/>
      </patternFill>
    </fill>
    <fill>
      <patternFill patternType="solid">
        <fgColor rgb="FFDDEBF7"/>
        <bgColor rgb="FFEDEDED"/>
      </patternFill>
    </fill>
    <fill>
      <patternFill patternType="solid">
        <fgColor rgb="FFE2EFDA"/>
        <bgColor rgb="FFEDEDED"/>
      </patternFill>
    </fill>
    <fill>
      <patternFill patternType="solid">
        <fgColor rgb="FFFCE4D6"/>
        <bgColor rgb="FFFFF2CC"/>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63BE7B"/>
          <bgColor rgb="FF000000"/>
        </patternFill>
      </fill>
    </dxf>
    <dxf>
      <fill>
        <patternFill patternType="solid">
          <fgColor rgb="FFF8696B"/>
          <bgColor rgb="FF000000"/>
        </patternFill>
      </fill>
    </dxf>
    <dxf>
      <fill>
        <patternFill patternType="solid">
          <fgColor rgb="FFFFB84D"/>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bgColor rgb="FF63BE7B"/>
        </patternFill>
      </fill>
    </dxf>
    <dxf>
      <fill>
        <patternFill>
          <bgColor rgb="FFFFB84D"/>
        </patternFill>
      </fill>
    </dxf>
    <dxf>
      <fill>
        <patternFill>
          <bgColor rgb="FFF8696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8696B"/>
      <rgbColor rgb="FF0066CC"/>
      <rgbColor rgb="FFE4DFEC"/>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63BE7B"/>
      <rgbColor rgb="FF99CC00"/>
      <rgbColor rgb="FFFFB84D"/>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48.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35.05" hidden="false" customHeight="false" outlineLevel="0" collapsed="false">
      <c r="A5" s="2" t="s">
        <v>5</v>
      </c>
      <c r="B5" s="3" t="s">
        <v>6</v>
      </c>
    </row>
    <row r="6" customFormat="false" ht="23.85" hidden="false" customHeight="false" outlineLevel="0" collapsed="false">
      <c r="A6" s="4" t="s">
        <v>7</v>
      </c>
      <c r="B6" s="3" t="s">
        <v>8</v>
      </c>
    </row>
    <row r="7" customFormat="false" ht="15" hidden="false" customHeight="false" outlineLevel="0" collapsed="false">
      <c r="A7" s="2" t="s">
        <v>9</v>
      </c>
      <c r="B7" s="3" t="s">
        <v>10</v>
      </c>
    </row>
    <row r="8" customFormat="false" ht="23.85" hidden="false" customHeight="false" outlineLevel="0" collapsed="false">
      <c r="A8" s="2" t="s">
        <v>11</v>
      </c>
      <c r="B8" s="3" t="s">
        <v>12</v>
      </c>
    </row>
    <row r="9" customFormat="false" ht="23.85" hidden="false" customHeight="false" outlineLevel="0" collapsed="false">
      <c r="A9" s="2" t="s">
        <v>13</v>
      </c>
      <c r="B9" s="3" t="s">
        <v>14</v>
      </c>
    </row>
    <row r="10" customFormat="false" ht="23.85" hidden="false" customHeight="false" outlineLevel="0" collapsed="false">
      <c r="A10" s="2" t="s">
        <v>15</v>
      </c>
      <c r="B10" s="3" t="s">
        <v>16</v>
      </c>
    </row>
    <row r="11" customFormat="false" ht="23.85" hidden="false" customHeight="false" outlineLevel="0" collapsed="false">
      <c r="A11" s="2" t="s">
        <v>17</v>
      </c>
      <c r="B11" s="3" t="s">
        <v>18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34"/>
    <col collapsed="false" customWidth="true" hidden="false" outlineLevel="0" max="4" min="4" style="0" width="82"/>
    <col collapsed="false" customWidth="true" hidden="false" outlineLevel="0" max="5" min="5" style="0" width="14"/>
    <col collapsed="false" customWidth="true" hidden="false" outlineLevel="0" max="6" min="6" style="0" width="11"/>
    <col collapsed="false" customWidth="true" hidden="false" outlineLevel="0" max="7" min="7" style="0" width="13"/>
    <col collapsed="false" customWidth="true" hidden="false" outlineLevel="0" max="8" min="8" style="0" width="2"/>
    <col collapsed="false" customWidth="true" hidden="false" outlineLevel="0" max="9" min="9" style="0" width="30"/>
    <col collapsed="false" customWidth="true" hidden="false" outlineLevel="0" max="10" min="10" style="0" width="34"/>
    <col collapsed="false" customWidth="true" hidden="false" outlineLevel="0" max="11" min="11" style="0" width="13"/>
    <col collapsed="false" customWidth="true" hidden="false" outlineLevel="0" max="12" min="12" style="0" width="20"/>
    <col collapsed="false" customWidth="true" hidden="false" outlineLevel="0" max="13" min="13" style="0" width="12"/>
    <col collapsed="false" customWidth="true" hidden="false" outlineLevel="0" max="14" min="14" style="0" width="52"/>
  </cols>
  <sheetData>
    <row r="1" customFormat="false" ht="31.5" hidden="false" customHeight="true" outlineLevel="0" collapsed="false">
      <c r="A1" s="5" t="s">
        <v>19</v>
      </c>
      <c r="B1" s="5" t="s">
        <v>20</v>
      </c>
      <c r="C1" s="5" t="s">
        <v>21</v>
      </c>
      <c r="D1" s="5" t="s">
        <v>22</v>
      </c>
      <c r="E1" s="5" t="s">
        <v>9</v>
      </c>
      <c r="F1" s="5" t="s">
        <v>23</v>
      </c>
      <c r="G1" s="5" t="s">
        <v>24</v>
      </c>
      <c r="I1" s="5" t="s">
        <v>25</v>
      </c>
      <c r="J1" s="5" t="s">
        <v>26</v>
      </c>
      <c r="K1" s="5" t="s">
        <v>27</v>
      </c>
      <c r="L1" s="5" t="s">
        <v>28</v>
      </c>
      <c r="M1" s="5" t="s">
        <v>29</v>
      </c>
      <c r="N1" s="5" t="s">
        <v>30</v>
      </c>
    </row>
    <row r="2" customFormat="false" ht="23.85" hidden="false" customHeight="false" outlineLevel="0" collapsed="false">
      <c r="A2" s="6" t="n">
        <v>1</v>
      </c>
      <c r="B2" s="7" t="s">
        <v>31</v>
      </c>
      <c r="C2" s="8" t="s">
        <v>32</v>
      </c>
      <c r="D2" s="9" t="s">
        <v>33</v>
      </c>
      <c r="E2" s="6" t="s">
        <v>34</v>
      </c>
      <c r="F2" s="10"/>
      <c r="G2" s="10"/>
      <c r="H2" s="11"/>
      <c r="I2" s="12" t="s">
        <v>35</v>
      </c>
      <c r="J2" s="9" t="s">
        <v>36</v>
      </c>
      <c r="K2" s="9" t="s">
        <v>37</v>
      </c>
      <c r="L2" s="9"/>
      <c r="M2" s="6" t="s">
        <v>38</v>
      </c>
      <c r="N2" s="9" t="s">
        <v>39</v>
      </c>
    </row>
    <row r="3" customFormat="false" ht="23.85" hidden="false" customHeight="false" outlineLevel="0" collapsed="false">
      <c r="A3" s="6" t="n">
        <v>2</v>
      </c>
      <c r="B3" s="7" t="s">
        <v>40</v>
      </c>
      <c r="C3" s="8" t="s">
        <v>41</v>
      </c>
      <c r="D3" s="9" t="s">
        <v>42</v>
      </c>
      <c r="E3" s="6" t="s">
        <v>34</v>
      </c>
      <c r="F3" s="10"/>
      <c r="G3" s="10"/>
      <c r="H3" s="11"/>
      <c r="I3" s="12" t="s">
        <v>35</v>
      </c>
      <c r="J3" s="9" t="s">
        <v>36</v>
      </c>
      <c r="K3" s="9" t="s">
        <v>37</v>
      </c>
      <c r="L3" s="9"/>
      <c r="M3" s="6" t="s">
        <v>38</v>
      </c>
      <c r="N3" s="9" t="s">
        <v>43</v>
      </c>
    </row>
    <row r="4" customFormat="false" ht="23.85" hidden="false" customHeight="false" outlineLevel="0" collapsed="false">
      <c r="A4" s="6" t="n">
        <v>3</v>
      </c>
      <c r="B4" s="7" t="s">
        <v>44</v>
      </c>
      <c r="C4" s="8" t="s">
        <v>45</v>
      </c>
      <c r="D4" s="9" t="s">
        <v>46</v>
      </c>
      <c r="E4" s="6" t="s">
        <v>34</v>
      </c>
      <c r="F4" s="10"/>
      <c r="G4" s="10"/>
      <c r="H4" s="11"/>
      <c r="I4" s="12" t="s">
        <v>35</v>
      </c>
      <c r="J4" s="9" t="s">
        <v>36</v>
      </c>
      <c r="K4" s="9" t="s">
        <v>37</v>
      </c>
      <c r="L4" s="9" t="s">
        <v>47</v>
      </c>
      <c r="M4" s="6" t="s">
        <v>38</v>
      </c>
      <c r="N4" s="9"/>
    </row>
    <row r="5" customFormat="false" ht="113.4" hidden="false" customHeight="false" outlineLevel="0" collapsed="false">
      <c r="A5" s="6" t="n">
        <v>4</v>
      </c>
      <c r="B5" s="7" t="s">
        <v>48</v>
      </c>
      <c r="C5" s="8" t="s">
        <v>49</v>
      </c>
      <c r="D5" s="9" t="s">
        <v>50</v>
      </c>
      <c r="E5" s="6" t="s">
        <v>51</v>
      </c>
      <c r="F5" s="10"/>
      <c r="G5" s="10"/>
      <c r="H5" s="11"/>
      <c r="I5" s="13" t="s">
        <v>52</v>
      </c>
      <c r="J5" s="9" t="s">
        <v>53</v>
      </c>
      <c r="K5" s="9" t="s">
        <v>54</v>
      </c>
      <c r="L5" s="9"/>
      <c r="M5" s="6" t="s">
        <v>38</v>
      </c>
      <c r="N5" s="9" t="s">
        <v>55</v>
      </c>
    </row>
    <row r="6" customFormat="false" ht="91" hidden="false" customHeight="false" outlineLevel="0" collapsed="false">
      <c r="A6" s="6" t="n">
        <v>5</v>
      </c>
      <c r="B6" s="7" t="s">
        <v>56</v>
      </c>
      <c r="C6" s="8" t="s">
        <v>57</v>
      </c>
      <c r="D6" s="9" t="s">
        <v>58</v>
      </c>
      <c r="E6" s="6" t="s">
        <v>51</v>
      </c>
      <c r="F6" s="10"/>
      <c r="G6" s="10"/>
      <c r="H6" s="11"/>
      <c r="I6" s="13" t="s">
        <v>52</v>
      </c>
      <c r="J6" s="9" t="s">
        <v>53</v>
      </c>
      <c r="K6" s="9" t="s">
        <v>54</v>
      </c>
      <c r="L6" s="9" t="s">
        <v>48</v>
      </c>
      <c r="M6" s="6" t="s">
        <v>38</v>
      </c>
      <c r="N6" s="9"/>
    </row>
    <row r="7" customFormat="false" ht="102.2" hidden="false" customHeight="false" outlineLevel="0" collapsed="false">
      <c r="A7" s="6" t="n">
        <v>6</v>
      </c>
      <c r="B7" s="7" t="s">
        <v>59</v>
      </c>
      <c r="C7" s="8" t="s">
        <v>60</v>
      </c>
      <c r="D7" s="9" t="s">
        <v>61</v>
      </c>
      <c r="E7" s="6" t="s">
        <v>51</v>
      </c>
      <c r="F7" s="10"/>
      <c r="G7" s="10"/>
      <c r="H7" s="11"/>
      <c r="I7" s="13" t="s">
        <v>52</v>
      </c>
      <c r="J7" s="9" t="s">
        <v>62</v>
      </c>
      <c r="K7" s="9" t="s">
        <v>54</v>
      </c>
      <c r="L7" s="9" t="s">
        <v>48</v>
      </c>
      <c r="M7" s="6" t="s">
        <v>38</v>
      </c>
      <c r="N7" s="9"/>
    </row>
    <row r="8" customFormat="false" ht="91" hidden="false" customHeight="false" outlineLevel="0" collapsed="false">
      <c r="A8" s="6" t="n">
        <v>7</v>
      </c>
      <c r="B8" s="7" t="s">
        <v>63</v>
      </c>
      <c r="C8" s="8" t="s">
        <v>64</v>
      </c>
      <c r="D8" s="9" t="s">
        <v>65</v>
      </c>
      <c r="E8" s="6" t="s">
        <v>51</v>
      </c>
      <c r="F8" s="10"/>
      <c r="G8" s="10"/>
      <c r="H8" s="11"/>
      <c r="I8" s="13" t="s">
        <v>52</v>
      </c>
      <c r="J8" s="9" t="s">
        <v>62</v>
      </c>
      <c r="K8" s="9" t="s">
        <v>54</v>
      </c>
      <c r="L8" s="9" t="s">
        <v>59</v>
      </c>
      <c r="M8" s="6" t="s">
        <v>38</v>
      </c>
      <c r="N8" s="9"/>
    </row>
    <row r="9" customFormat="false" ht="91" hidden="false" customHeight="false" outlineLevel="0" collapsed="false">
      <c r="A9" s="6" t="n">
        <v>8</v>
      </c>
      <c r="B9" s="7" t="s">
        <v>66</v>
      </c>
      <c r="C9" s="8" t="s">
        <v>67</v>
      </c>
      <c r="D9" s="9" t="s">
        <v>68</v>
      </c>
      <c r="E9" s="6" t="s">
        <v>51</v>
      </c>
      <c r="F9" s="10"/>
      <c r="G9" s="10"/>
      <c r="H9" s="11"/>
      <c r="I9" s="13" t="s">
        <v>52</v>
      </c>
      <c r="J9" s="9" t="s">
        <v>69</v>
      </c>
      <c r="K9" s="9" t="s">
        <v>54</v>
      </c>
      <c r="L9" s="9" t="s">
        <v>48</v>
      </c>
      <c r="M9" s="6" t="s">
        <v>38</v>
      </c>
      <c r="N9" s="9" t="s">
        <v>70</v>
      </c>
    </row>
    <row r="10" customFormat="false" ht="91" hidden="false" customHeight="false" outlineLevel="0" collapsed="false">
      <c r="A10" s="6" t="n">
        <v>9</v>
      </c>
      <c r="B10" s="7" t="s">
        <v>71</v>
      </c>
      <c r="C10" s="8" t="s">
        <v>72</v>
      </c>
      <c r="D10" s="9" t="s">
        <v>73</v>
      </c>
      <c r="E10" s="6" t="s">
        <v>51</v>
      </c>
      <c r="F10" s="10"/>
      <c r="G10" s="10"/>
      <c r="H10" s="11"/>
      <c r="I10" s="14" t="s">
        <v>74</v>
      </c>
      <c r="J10" s="9" t="s">
        <v>75</v>
      </c>
      <c r="K10" s="9" t="s">
        <v>54</v>
      </c>
      <c r="L10" s="9" t="s">
        <v>63</v>
      </c>
      <c r="M10" s="6" t="s">
        <v>38</v>
      </c>
      <c r="N10" s="9" t="s">
        <v>76</v>
      </c>
    </row>
    <row r="11" customFormat="false" ht="91" hidden="false" customHeight="false" outlineLevel="0" collapsed="false">
      <c r="A11" s="6" t="n">
        <v>10</v>
      </c>
      <c r="B11" s="7" t="s">
        <v>77</v>
      </c>
      <c r="C11" s="8" t="s">
        <v>78</v>
      </c>
      <c r="D11" s="9" t="s">
        <v>79</v>
      </c>
      <c r="E11" s="6" t="s">
        <v>51</v>
      </c>
      <c r="F11" s="10"/>
      <c r="G11" s="10"/>
      <c r="H11" s="11"/>
      <c r="I11" s="14" t="s">
        <v>74</v>
      </c>
      <c r="J11" s="9" t="s">
        <v>80</v>
      </c>
      <c r="K11" s="9" t="s">
        <v>54</v>
      </c>
      <c r="L11" s="9" t="s">
        <v>81</v>
      </c>
      <c r="M11" s="6" t="s">
        <v>38</v>
      </c>
      <c r="N11" s="9" t="s">
        <v>82</v>
      </c>
    </row>
    <row r="12" customFormat="false" ht="113.4" hidden="false" customHeight="false" outlineLevel="0" collapsed="false">
      <c r="A12" s="6" t="n">
        <v>11</v>
      </c>
      <c r="B12" s="7" t="s">
        <v>83</v>
      </c>
      <c r="C12" s="8" t="s">
        <v>84</v>
      </c>
      <c r="D12" s="9" t="s">
        <v>85</v>
      </c>
      <c r="E12" s="6" t="s">
        <v>51</v>
      </c>
      <c r="F12" s="10"/>
      <c r="G12" s="10"/>
      <c r="H12" s="11"/>
      <c r="I12" s="15" t="s">
        <v>86</v>
      </c>
      <c r="J12" s="9" t="s">
        <v>87</v>
      </c>
      <c r="K12" s="9" t="s">
        <v>54</v>
      </c>
      <c r="L12" s="9" t="s">
        <v>88</v>
      </c>
      <c r="M12" s="6" t="s">
        <v>38</v>
      </c>
      <c r="N12" s="9" t="s">
        <v>89</v>
      </c>
    </row>
    <row r="13" customFormat="false" ht="102.2" hidden="false" customHeight="false" outlineLevel="0" collapsed="false">
      <c r="A13" s="6" t="n">
        <v>12</v>
      </c>
      <c r="B13" s="7" t="s">
        <v>90</v>
      </c>
      <c r="C13" s="8" t="s">
        <v>91</v>
      </c>
      <c r="D13" s="9" t="s">
        <v>92</v>
      </c>
      <c r="E13" s="6" t="s">
        <v>34</v>
      </c>
      <c r="F13" s="10"/>
      <c r="G13" s="10"/>
      <c r="H13" s="11"/>
      <c r="I13" s="15" t="s">
        <v>86</v>
      </c>
      <c r="J13" s="9" t="s">
        <v>87</v>
      </c>
      <c r="K13" s="9" t="s">
        <v>54</v>
      </c>
      <c r="L13" s="9" t="s">
        <v>83</v>
      </c>
      <c r="M13" s="6" t="s">
        <v>38</v>
      </c>
      <c r="N13" s="9" t="s">
        <v>93</v>
      </c>
    </row>
    <row r="14" customFormat="false" ht="23.85" hidden="false" customHeight="false" outlineLevel="0" collapsed="false">
      <c r="A14" s="6" t="n">
        <v>13</v>
      </c>
      <c r="B14" s="7" t="s">
        <v>94</v>
      </c>
      <c r="C14" s="8" t="s">
        <v>95</v>
      </c>
      <c r="D14" s="9" t="s">
        <v>96</v>
      </c>
      <c r="E14" s="6" t="s">
        <v>51</v>
      </c>
      <c r="F14" s="10"/>
      <c r="G14" s="10"/>
      <c r="H14" s="11"/>
      <c r="I14" s="12" t="s">
        <v>35</v>
      </c>
      <c r="J14" s="9" t="s">
        <v>97</v>
      </c>
      <c r="K14" s="9" t="s">
        <v>98</v>
      </c>
      <c r="L14" s="9"/>
      <c r="M14" s="6" t="s">
        <v>99</v>
      </c>
      <c r="N14" s="9" t="s">
        <v>100</v>
      </c>
    </row>
    <row r="15" customFormat="false" ht="23.85" hidden="false" customHeight="false" outlineLevel="0" collapsed="false">
      <c r="A15" s="6" t="n">
        <v>14</v>
      </c>
      <c r="B15" s="7" t="s">
        <v>101</v>
      </c>
      <c r="C15" s="8" t="s">
        <v>102</v>
      </c>
      <c r="D15" s="9" t="s">
        <v>103</v>
      </c>
      <c r="E15" s="6" t="s">
        <v>51</v>
      </c>
      <c r="F15" s="10"/>
      <c r="G15" s="10"/>
      <c r="H15" s="11"/>
      <c r="I15" s="12" t="s">
        <v>35</v>
      </c>
      <c r="J15" s="9" t="s">
        <v>97</v>
      </c>
      <c r="K15" s="9" t="s">
        <v>98</v>
      </c>
      <c r="L15" s="9" t="s">
        <v>40</v>
      </c>
      <c r="M15" s="6" t="s">
        <v>99</v>
      </c>
      <c r="N15" s="9"/>
    </row>
    <row r="16" customFormat="false" ht="23.85" hidden="false" customHeight="false" outlineLevel="0" collapsed="false">
      <c r="A16" s="6" t="n">
        <v>15</v>
      </c>
      <c r="B16" s="7" t="s">
        <v>104</v>
      </c>
      <c r="C16" s="8" t="s">
        <v>105</v>
      </c>
      <c r="D16" s="9" t="s">
        <v>106</v>
      </c>
      <c r="E16" s="6" t="s">
        <v>34</v>
      </c>
      <c r="F16" s="10"/>
      <c r="G16" s="10"/>
      <c r="H16" s="11"/>
      <c r="I16" s="12" t="s">
        <v>35</v>
      </c>
      <c r="J16" s="9" t="s">
        <v>36</v>
      </c>
      <c r="K16" s="9" t="s">
        <v>37</v>
      </c>
      <c r="L16" s="9" t="s">
        <v>31</v>
      </c>
      <c r="M16" s="6" t="s">
        <v>99</v>
      </c>
      <c r="N16" s="9"/>
    </row>
    <row r="17" customFormat="false" ht="79.85" hidden="false" customHeight="false" outlineLevel="0" collapsed="false">
      <c r="A17" s="6" t="n">
        <v>16</v>
      </c>
      <c r="B17" s="7" t="s">
        <v>107</v>
      </c>
      <c r="C17" s="8" t="s">
        <v>108</v>
      </c>
      <c r="D17" s="9" t="s">
        <v>109</v>
      </c>
      <c r="E17" s="6" t="s">
        <v>34</v>
      </c>
      <c r="F17" s="10"/>
      <c r="G17" s="10"/>
      <c r="H17" s="11"/>
      <c r="I17" s="13" t="s">
        <v>52</v>
      </c>
      <c r="J17" s="9" t="s">
        <v>62</v>
      </c>
      <c r="K17" s="9" t="s">
        <v>54</v>
      </c>
      <c r="L17" s="9" t="s">
        <v>63</v>
      </c>
      <c r="M17" s="6" t="s">
        <v>99</v>
      </c>
      <c r="N17" s="9" t="s">
        <v>110</v>
      </c>
    </row>
    <row r="18" customFormat="false" ht="91" hidden="false" customHeight="false" outlineLevel="0" collapsed="false">
      <c r="A18" s="6" t="n">
        <v>17</v>
      </c>
      <c r="B18" s="7" t="s">
        <v>111</v>
      </c>
      <c r="C18" s="8" t="s">
        <v>112</v>
      </c>
      <c r="D18" s="9" t="s">
        <v>113</v>
      </c>
      <c r="E18" s="6" t="s">
        <v>51</v>
      </c>
      <c r="F18" s="10"/>
      <c r="G18" s="10"/>
      <c r="H18" s="11"/>
      <c r="I18" s="16" t="s">
        <v>114</v>
      </c>
      <c r="J18" s="9" t="s">
        <v>115</v>
      </c>
      <c r="K18" s="9" t="s">
        <v>54</v>
      </c>
      <c r="L18" s="9" t="s">
        <v>63</v>
      </c>
      <c r="M18" s="6" t="s">
        <v>99</v>
      </c>
      <c r="N18" s="9" t="s">
        <v>116</v>
      </c>
    </row>
    <row r="19" customFormat="false" ht="91" hidden="false" customHeight="false" outlineLevel="0" collapsed="false">
      <c r="A19" s="6" t="n">
        <v>18</v>
      </c>
      <c r="B19" s="7" t="s">
        <v>117</v>
      </c>
      <c r="C19" s="8" t="s">
        <v>118</v>
      </c>
      <c r="D19" s="9" t="s">
        <v>119</v>
      </c>
      <c r="E19" s="6" t="s">
        <v>51</v>
      </c>
      <c r="F19" s="10"/>
      <c r="G19" s="10"/>
      <c r="H19" s="11"/>
      <c r="I19" s="16" t="s">
        <v>114</v>
      </c>
      <c r="J19" s="9" t="s">
        <v>115</v>
      </c>
      <c r="K19" s="9" t="s">
        <v>54</v>
      </c>
      <c r="L19" s="9" t="s">
        <v>111</v>
      </c>
      <c r="M19" s="6" t="s">
        <v>99</v>
      </c>
      <c r="N19" s="9" t="s">
        <v>120</v>
      </c>
    </row>
    <row r="20" customFormat="false" ht="79.85" hidden="false" customHeight="false" outlineLevel="0" collapsed="false">
      <c r="A20" s="6" t="n">
        <v>19</v>
      </c>
      <c r="B20" s="7" t="s">
        <v>121</v>
      </c>
      <c r="C20" s="8" t="s">
        <v>122</v>
      </c>
      <c r="D20" s="9" t="s">
        <v>123</v>
      </c>
      <c r="E20" s="6" t="s">
        <v>51</v>
      </c>
      <c r="F20" s="10"/>
      <c r="G20" s="10"/>
      <c r="H20" s="11"/>
      <c r="I20" s="16" t="s">
        <v>114</v>
      </c>
      <c r="J20" s="9" t="s">
        <v>115</v>
      </c>
      <c r="K20" s="9" t="s">
        <v>54</v>
      </c>
      <c r="L20" s="9" t="s">
        <v>124</v>
      </c>
      <c r="M20" s="6" t="s">
        <v>99</v>
      </c>
      <c r="N20" s="9"/>
    </row>
    <row r="21" customFormat="false" ht="113.4" hidden="false" customHeight="false" outlineLevel="0" collapsed="false">
      <c r="A21" s="6" t="n">
        <v>20</v>
      </c>
      <c r="B21" s="7" t="s">
        <v>125</v>
      </c>
      <c r="C21" s="8" t="s">
        <v>126</v>
      </c>
      <c r="D21" s="9" t="s">
        <v>127</v>
      </c>
      <c r="E21" s="6" t="s">
        <v>51</v>
      </c>
      <c r="F21" s="10"/>
      <c r="G21" s="10"/>
      <c r="H21" s="11"/>
      <c r="I21" s="16" t="s">
        <v>114</v>
      </c>
      <c r="J21" s="9" t="s">
        <v>128</v>
      </c>
      <c r="K21" s="9" t="s">
        <v>54</v>
      </c>
      <c r="L21" s="9" t="s">
        <v>129</v>
      </c>
      <c r="M21" s="6" t="s">
        <v>99</v>
      </c>
      <c r="N21" s="9" t="s">
        <v>130</v>
      </c>
    </row>
    <row r="22" customFormat="false" ht="68.65" hidden="false" customHeight="false" outlineLevel="0" collapsed="false">
      <c r="A22" s="6" t="n">
        <v>21</v>
      </c>
      <c r="B22" s="7" t="s">
        <v>131</v>
      </c>
      <c r="C22" s="8" t="s">
        <v>132</v>
      </c>
      <c r="D22" s="9" t="s">
        <v>133</v>
      </c>
      <c r="E22" s="6" t="s">
        <v>51</v>
      </c>
      <c r="F22" s="10"/>
      <c r="G22" s="10"/>
      <c r="H22" s="11"/>
      <c r="I22" s="16" t="s">
        <v>114</v>
      </c>
      <c r="J22" s="9" t="s">
        <v>128</v>
      </c>
      <c r="K22" s="9" t="s">
        <v>54</v>
      </c>
      <c r="L22" s="9" t="s">
        <v>125</v>
      </c>
      <c r="M22" s="6" t="s">
        <v>99</v>
      </c>
      <c r="N22" s="9"/>
    </row>
    <row r="23" customFormat="false" ht="23.85" hidden="false" customHeight="false" outlineLevel="0" collapsed="false">
      <c r="A23" s="6" t="n">
        <v>22</v>
      </c>
      <c r="B23" s="7" t="s">
        <v>134</v>
      </c>
      <c r="C23" s="8" t="s">
        <v>135</v>
      </c>
      <c r="D23" s="9" t="s">
        <v>136</v>
      </c>
      <c r="E23" s="6" t="s">
        <v>34</v>
      </c>
      <c r="F23" s="10"/>
      <c r="G23" s="10"/>
      <c r="H23" s="11"/>
      <c r="I23" s="16" t="s">
        <v>114</v>
      </c>
      <c r="J23" s="9" t="s">
        <v>128</v>
      </c>
      <c r="K23" s="9" t="s">
        <v>54</v>
      </c>
      <c r="L23" s="9" t="s">
        <v>125</v>
      </c>
      <c r="M23" s="6" t="s">
        <v>99</v>
      </c>
      <c r="N23" s="9"/>
    </row>
    <row r="24" customFormat="false" ht="91" hidden="false" customHeight="false" outlineLevel="0" collapsed="false">
      <c r="A24" s="6" t="n">
        <v>23</v>
      </c>
      <c r="B24" s="7" t="s">
        <v>137</v>
      </c>
      <c r="C24" s="8" t="s">
        <v>138</v>
      </c>
      <c r="D24" s="9" t="s">
        <v>139</v>
      </c>
      <c r="E24" s="6" t="s">
        <v>34</v>
      </c>
      <c r="F24" s="10"/>
      <c r="G24" s="10"/>
      <c r="H24" s="11"/>
      <c r="I24" s="13" t="s">
        <v>52</v>
      </c>
      <c r="J24" s="9" t="s">
        <v>69</v>
      </c>
      <c r="K24" s="9" t="s">
        <v>54</v>
      </c>
      <c r="L24" s="9" t="s">
        <v>140</v>
      </c>
      <c r="M24" s="6" t="s">
        <v>99</v>
      </c>
      <c r="N24" s="9"/>
    </row>
    <row r="25" customFormat="false" ht="113.4" hidden="false" customHeight="false" outlineLevel="0" collapsed="false">
      <c r="A25" s="6" t="n">
        <v>24</v>
      </c>
      <c r="B25" s="7" t="s">
        <v>141</v>
      </c>
      <c r="C25" s="8" t="s">
        <v>142</v>
      </c>
      <c r="D25" s="9" t="s">
        <v>143</v>
      </c>
      <c r="E25" s="6" t="s">
        <v>51</v>
      </c>
      <c r="F25" s="10"/>
      <c r="G25" s="10"/>
      <c r="H25" s="11"/>
      <c r="I25" s="13" t="s">
        <v>52</v>
      </c>
      <c r="J25" s="9" t="s">
        <v>69</v>
      </c>
      <c r="K25" s="9" t="s">
        <v>54</v>
      </c>
      <c r="L25" s="9" t="s">
        <v>144</v>
      </c>
      <c r="M25" s="6" t="s">
        <v>99</v>
      </c>
      <c r="N25" s="9" t="s">
        <v>145</v>
      </c>
    </row>
    <row r="26" customFormat="false" ht="79.85" hidden="false" customHeight="false" outlineLevel="0" collapsed="false">
      <c r="A26" s="6" t="n">
        <v>25</v>
      </c>
      <c r="B26" s="7" t="s">
        <v>146</v>
      </c>
      <c r="C26" s="8" t="s">
        <v>147</v>
      </c>
      <c r="D26" s="9" t="s">
        <v>148</v>
      </c>
      <c r="E26" s="6" t="s">
        <v>34</v>
      </c>
      <c r="F26" s="10"/>
      <c r="G26" s="10"/>
      <c r="H26" s="11"/>
      <c r="I26" s="14" t="s">
        <v>74</v>
      </c>
      <c r="J26" s="9" t="s">
        <v>80</v>
      </c>
      <c r="K26" s="9" t="s">
        <v>54</v>
      </c>
      <c r="L26" s="9" t="s">
        <v>149</v>
      </c>
      <c r="M26" s="6" t="s">
        <v>99</v>
      </c>
      <c r="N26" s="9"/>
    </row>
    <row r="27" customFormat="false" ht="91" hidden="false" customHeight="false" outlineLevel="0" collapsed="false">
      <c r="A27" s="6" t="n">
        <v>26</v>
      </c>
      <c r="B27" s="7" t="s">
        <v>150</v>
      </c>
      <c r="C27" s="8" t="s">
        <v>151</v>
      </c>
      <c r="D27" s="9" t="s">
        <v>152</v>
      </c>
      <c r="E27" s="6" t="s">
        <v>51</v>
      </c>
      <c r="F27" s="10"/>
      <c r="G27" s="10"/>
      <c r="H27" s="11"/>
      <c r="I27" s="14" t="s">
        <v>74</v>
      </c>
      <c r="J27" s="9" t="s">
        <v>153</v>
      </c>
      <c r="K27" s="9" t="s">
        <v>54</v>
      </c>
      <c r="L27" s="9" t="s">
        <v>154</v>
      </c>
      <c r="M27" s="6" t="s">
        <v>99</v>
      </c>
      <c r="N27" s="9" t="s">
        <v>155</v>
      </c>
    </row>
    <row r="28" customFormat="false" ht="91" hidden="false" customHeight="false" outlineLevel="0" collapsed="false">
      <c r="A28" s="6" t="n">
        <v>27</v>
      </c>
      <c r="B28" s="7" t="s">
        <v>156</v>
      </c>
      <c r="C28" s="8" t="s">
        <v>157</v>
      </c>
      <c r="D28" s="9" t="s">
        <v>158</v>
      </c>
      <c r="E28" s="6" t="s">
        <v>51</v>
      </c>
      <c r="F28" s="10"/>
      <c r="G28" s="10"/>
      <c r="H28" s="11"/>
      <c r="I28" s="14" t="s">
        <v>74</v>
      </c>
      <c r="J28" s="9" t="s">
        <v>153</v>
      </c>
      <c r="K28" s="9" t="s">
        <v>54</v>
      </c>
      <c r="L28" s="9" t="s">
        <v>159</v>
      </c>
      <c r="M28" s="6" t="s">
        <v>99</v>
      </c>
      <c r="N28" s="9" t="s">
        <v>160</v>
      </c>
    </row>
    <row r="29" customFormat="false" ht="79.85" hidden="false" customHeight="false" outlineLevel="0" collapsed="false">
      <c r="A29" s="6" t="n">
        <v>28</v>
      </c>
      <c r="B29" s="7" t="s">
        <v>161</v>
      </c>
      <c r="C29" s="8" t="s">
        <v>162</v>
      </c>
      <c r="D29" s="9" t="s">
        <v>163</v>
      </c>
      <c r="E29" s="6" t="s">
        <v>34</v>
      </c>
      <c r="F29" s="10"/>
      <c r="G29" s="10"/>
      <c r="H29" s="11"/>
      <c r="I29" s="14" t="s">
        <v>74</v>
      </c>
      <c r="J29" s="9" t="s">
        <v>153</v>
      </c>
      <c r="K29" s="9" t="s">
        <v>54</v>
      </c>
      <c r="L29" s="9" t="s">
        <v>164</v>
      </c>
      <c r="M29" s="6" t="s">
        <v>99</v>
      </c>
      <c r="N29" s="9"/>
    </row>
    <row r="30" customFormat="false" ht="15" hidden="false" customHeight="false" outlineLevel="0" collapsed="false">
      <c r="A30" s="6" t="n">
        <v>29</v>
      </c>
      <c r="B30" s="7" t="s">
        <v>165</v>
      </c>
      <c r="C30" s="8" t="s">
        <v>166</v>
      </c>
      <c r="D30" s="9" t="s">
        <v>167</v>
      </c>
      <c r="E30" s="6" t="s">
        <v>34</v>
      </c>
      <c r="F30" s="10"/>
      <c r="G30" s="10"/>
      <c r="H30" s="11"/>
      <c r="I30" s="12" t="s">
        <v>35</v>
      </c>
      <c r="J30" s="9" t="s">
        <v>97</v>
      </c>
      <c r="K30" s="9" t="s">
        <v>98</v>
      </c>
      <c r="L30" s="9"/>
      <c r="M30" s="6" t="s">
        <v>168</v>
      </c>
      <c r="N30" s="9"/>
    </row>
    <row r="31" customFormat="false" ht="15" hidden="false" customHeight="false" outlineLevel="0" collapsed="false">
      <c r="A31" s="6" t="n">
        <v>30</v>
      </c>
      <c r="B31" s="7" t="s">
        <v>169</v>
      </c>
      <c r="C31" s="8" t="s">
        <v>170</v>
      </c>
      <c r="D31" s="9" t="s">
        <v>171</v>
      </c>
      <c r="E31" s="6" t="s">
        <v>34</v>
      </c>
      <c r="F31" s="10"/>
      <c r="G31" s="10"/>
      <c r="H31" s="11"/>
      <c r="I31" s="12" t="s">
        <v>35</v>
      </c>
      <c r="J31" s="9" t="s">
        <v>97</v>
      </c>
      <c r="K31" s="9" t="s">
        <v>98</v>
      </c>
      <c r="L31" s="9"/>
      <c r="M31" s="6" t="s">
        <v>168</v>
      </c>
      <c r="N31" s="9"/>
    </row>
    <row r="32" customFormat="false" ht="15" hidden="false" customHeight="false" outlineLevel="0" collapsed="false">
      <c r="A32" s="6" t="n">
        <v>31</v>
      </c>
      <c r="B32" s="7" t="s">
        <v>172</v>
      </c>
      <c r="C32" s="8" t="s">
        <v>173</v>
      </c>
      <c r="D32" s="9" t="s">
        <v>174</v>
      </c>
      <c r="E32" s="6" t="s">
        <v>175</v>
      </c>
      <c r="F32" s="10"/>
      <c r="G32" s="10"/>
      <c r="H32" s="11"/>
      <c r="I32" s="12" t="s">
        <v>35</v>
      </c>
      <c r="J32" s="9" t="s">
        <v>36</v>
      </c>
      <c r="K32" s="9" t="s">
        <v>37</v>
      </c>
      <c r="L32" s="9" t="s">
        <v>44</v>
      </c>
      <c r="M32" s="6" t="s">
        <v>168</v>
      </c>
      <c r="N32" s="9" t="s">
        <v>176</v>
      </c>
    </row>
    <row r="33" customFormat="false" ht="79.85" hidden="false" customHeight="false" outlineLevel="0" collapsed="false">
      <c r="A33" s="6" t="n">
        <v>32</v>
      </c>
      <c r="B33" s="7" t="s">
        <v>177</v>
      </c>
      <c r="C33" s="8" t="s">
        <v>178</v>
      </c>
      <c r="D33" s="9" t="s">
        <v>179</v>
      </c>
      <c r="E33" s="6" t="s">
        <v>51</v>
      </c>
      <c r="F33" s="10"/>
      <c r="G33" s="10"/>
      <c r="H33" s="11"/>
      <c r="I33" s="15" t="s">
        <v>86</v>
      </c>
      <c r="J33" s="9" t="s">
        <v>180</v>
      </c>
      <c r="K33" s="9" t="s">
        <v>54</v>
      </c>
      <c r="L33" s="9" t="s">
        <v>181</v>
      </c>
      <c r="M33" s="6" t="s">
        <v>168</v>
      </c>
      <c r="N33" s="9" t="s">
        <v>182</v>
      </c>
    </row>
    <row r="34" customFormat="false" ht="23.85" hidden="false" customHeight="false" outlineLevel="0" collapsed="false">
      <c r="A34" s="6" t="n">
        <v>33</v>
      </c>
      <c r="B34" s="7" t="s">
        <v>183</v>
      </c>
      <c r="C34" s="8" t="s">
        <v>184</v>
      </c>
      <c r="D34" s="9" t="s">
        <v>185</v>
      </c>
      <c r="E34" s="6" t="s">
        <v>34</v>
      </c>
      <c r="F34" s="10"/>
      <c r="G34" s="10"/>
      <c r="H34" s="11"/>
      <c r="I34" s="13" t="s">
        <v>52</v>
      </c>
      <c r="J34" s="9" t="s">
        <v>69</v>
      </c>
      <c r="K34" s="9" t="s">
        <v>54</v>
      </c>
      <c r="L34" s="9" t="s">
        <v>186</v>
      </c>
      <c r="M34" s="6" t="s">
        <v>168</v>
      </c>
      <c r="N34" s="9" t="s">
        <v>187</v>
      </c>
    </row>
    <row r="35" customFormat="false" ht="23.85" hidden="false" customHeight="false" outlineLevel="0" collapsed="false">
      <c r="A35" s="6" t="n">
        <v>34</v>
      </c>
      <c r="B35" s="7" t="s">
        <v>188</v>
      </c>
      <c r="C35" s="8" t="s">
        <v>189</v>
      </c>
      <c r="D35" s="9" t="s">
        <v>190</v>
      </c>
      <c r="E35" s="6" t="s">
        <v>34</v>
      </c>
      <c r="F35" s="10"/>
      <c r="G35" s="10"/>
      <c r="H35" s="11"/>
      <c r="I35" s="13" t="s">
        <v>52</v>
      </c>
      <c r="J35" s="9" t="s">
        <v>69</v>
      </c>
      <c r="K35" s="9" t="s">
        <v>54</v>
      </c>
      <c r="L35" s="9" t="s">
        <v>183</v>
      </c>
      <c r="M35" s="6" t="s">
        <v>168</v>
      </c>
      <c r="N35" s="9"/>
    </row>
    <row r="36" customFormat="false" ht="91" hidden="false" customHeight="false" outlineLevel="0" collapsed="false">
      <c r="A36" s="6" t="n">
        <v>35</v>
      </c>
      <c r="B36" s="7" t="s">
        <v>191</v>
      </c>
      <c r="C36" s="8" t="s">
        <v>192</v>
      </c>
      <c r="D36" s="9" t="s">
        <v>193</v>
      </c>
      <c r="E36" s="6" t="s">
        <v>34</v>
      </c>
      <c r="F36" s="10"/>
      <c r="G36" s="10"/>
      <c r="H36" s="11"/>
      <c r="I36" s="13" t="s">
        <v>52</v>
      </c>
      <c r="J36" s="9" t="s">
        <v>69</v>
      </c>
      <c r="K36" s="9" t="s">
        <v>54</v>
      </c>
      <c r="L36" s="9" t="s">
        <v>194</v>
      </c>
      <c r="M36" s="6" t="s">
        <v>168</v>
      </c>
      <c r="N36" s="9" t="s">
        <v>195</v>
      </c>
    </row>
    <row r="37" customFormat="false" ht="68.65" hidden="false" customHeight="false" outlineLevel="0" collapsed="false">
      <c r="A37" s="6" t="n">
        <v>36</v>
      </c>
      <c r="B37" s="7" t="s">
        <v>196</v>
      </c>
      <c r="C37" s="8" t="s">
        <v>197</v>
      </c>
      <c r="D37" s="9" t="s">
        <v>198</v>
      </c>
      <c r="E37" s="6" t="s">
        <v>34</v>
      </c>
      <c r="F37" s="10"/>
      <c r="G37" s="10"/>
      <c r="H37" s="11"/>
      <c r="I37" s="14" t="s">
        <v>74</v>
      </c>
      <c r="J37" s="9" t="s">
        <v>153</v>
      </c>
      <c r="K37" s="9" t="s">
        <v>54</v>
      </c>
      <c r="L37" s="9" t="s">
        <v>156</v>
      </c>
      <c r="M37" s="6" t="s">
        <v>168</v>
      </c>
      <c r="N37" s="9"/>
    </row>
    <row r="38" customFormat="false" ht="23.85" hidden="false" customHeight="false" outlineLevel="0" collapsed="false">
      <c r="A38" s="6" t="n">
        <v>37</v>
      </c>
      <c r="B38" s="7" t="s">
        <v>199</v>
      </c>
      <c r="C38" s="8" t="s">
        <v>200</v>
      </c>
      <c r="D38" s="9" t="s">
        <v>201</v>
      </c>
      <c r="E38" s="6" t="s">
        <v>34</v>
      </c>
      <c r="F38" s="10"/>
      <c r="G38" s="10"/>
      <c r="H38" s="11"/>
      <c r="I38" s="16" t="s">
        <v>114</v>
      </c>
      <c r="J38" s="9" t="s">
        <v>128</v>
      </c>
      <c r="K38" s="9" t="s">
        <v>54</v>
      </c>
      <c r="L38" s="9" t="s">
        <v>202</v>
      </c>
      <c r="M38" s="6" t="s">
        <v>168</v>
      </c>
      <c r="N38" s="9"/>
    </row>
    <row r="39" customFormat="false" ht="68.65" hidden="false" customHeight="false" outlineLevel="0" collapsed="false">
      <c r="A39" s="6" t="n">
        <v>38</v>
      </c>
      <c r="B39" s="7" t="s">
        <v>203</v>
      </c>
      <c r="C39" s="8" t="s">
        <v>204</v>
      </c>
      <c r="D39" s="9" t="s">
        <v>205</v>
      </c>
      <c r="E39" s="6" t="s">
        <v>34</v>
      </c>
      <c r="F39" s="10"/>
      <c r="G39" s="10"/>
      <c r="H39" s="11"/>
      <c r="I39" s="16" t="s">
        <v>114</v>
      </c>
      <c r="J39" s="9" t="s">
        <v>128</v>
      </c>
      <c r="K39" s="9" t="s">
        <v>54</v>
      </c>
      <c r="L39" s="9" t="s">
        <v>125</v>
      </c>
      <c r="M39" s="6" t="s">
        <v>168</v>
      </c>
      <c r="N39" s="9" t="s">
        <v>206</v>
      </c>
    </row>
    <row r="40" customFormat="false" ht="79.85" hidden="false" customHeight="false" outlineLevel="0" collapsed="false">
      <c r="A40" s="6" t="n">
        <v>39</v>
      </c>
      <c r="B40" s="7" t="s">
        <v>207</v>
      </c>
      <c r="C40" s="8" t="s">
        <v>208</v>
      </c>
      <c r="D40" s="9" t="s">
        <v>209</v>
      </c>
      <c r="E40" s="6" t="s">
        <v>51</v>
      </c>
      <c r="F40" s="10"/>
      <c r="G40" s="10"/>
      <c r="H40" s="11"/>
      <c r="I40" s="16" t="s">
        <v>114</v>
      </c>
      <c r="J40" s="9" t="s">
        <v>210</v>
      </c>
      <c r="K40" s="9" t="s">
        <v>54</v>
      </c>
      <c r="L40" s="9" t="s">
        <v>125</v>
      </c>
      <c r="M40" s="6" t="s">
        <v>168</v>
      </c>
      <c r="N40" s="9"/>
    </row>
    <row r="41" customFormat="false" ht="91" hidden="false" customHeight="false" outlineLevel="0" collapsed="false">
      <c r="A41" s="6" t="n">
        <v>40</v>
      </c>
      <c r="B41" s="7" t="s">
        <v>211</v>
      </c>
      <c r="C41" s="8" t="s">
        <v>212</v>
      </c>
      <c r="D41" s="9" t="s">
        <v>213</v>
      </c>
      <c r="E41" s="6" t="s">
        <v>51</v>
      </c>
      <c r="F41" s="10"/>
      <c r="G41" s="10"/>
      <c r="H41" s="11"/>
      <c r="I41" s="16" t="s">
        <v>114</v>
      </c>
      <c r="J41" s="9" t="s">
        <v>210</v>
      </c>
      <c r="K41" s="9" t="s">
        <v>54</v>
      </c>
      <c r="L41" s="9" t="s">
        <v>214</v>
      </c>
      <c r="M41" s="6" t="s">
        <v>168</v>
      </c>
      <c r="N41" s="9" t="s">
        <v>215</v>
      </c>
    </row>
    <row r="42" customFormat="false" ht="113.4" hidden="false" customHeight="false" outlineLevel="0" collapsed="false">
      <c r="A42" s="6" t="n">
        <v>41</v>
      </c>
      <c r="B42" s="7" t="s">
        <v>216</v>
      </c>
      <c r="C42" s="8" t="s">
        <v>217</v>
      </c>
      <c r="D42" s="9" t="s">
        <v>218</v>
      </c>
      <c r="E42" s="6" t="s">
        <v>51</v>
      </c>
      <c r="F42" s="10"/>
      <c r="G42" s="10"/>
      <c r="H42" s="11"/>
      <c r="I42" s="16" t="s">
        <v>114</v>
      </c>
      <c r="J42" s="9" t="s">
        <v>210</v>
      </c>
      <c r="K42" s="9" t="s">
        <v>54</v>
      </c>
      <c r="L42" s="9" t="s">
        <v>211</v>
      </c>
      <c r="M42" s="6" t="s">
        <v>168</v>
      </c>
      <c r="N42" s="9" t="s">
        <v>219</v>
      </c>
    </row>
    <row r="43" customFormat="false" ht="91" hidden="false" customHeight="false" outlineLevel="0" collapsed="false">
      <c r="A43" s="6" t="n">
        <v>42</v>
      </c>
      <c r="B43" s="7" t="s">
        <v>220</v>
      </c>
      <c r="C43" s="8" t="s">
        <v>221</v>
      </c>
      <c r="D43" s="9" t="s">
        <v>222</v>
      </c>
      <c r="E43" s="6" t="s">
        <v>51</v>
      </c>
      <c r="F43" s="10"/>
      <c r="G43" s="10"/>
      <c r="H43" s="11"/>
      <c r="I43" s="16" t="s">
        <v>114</v>
      </c>
      <c r="J43" s="9" t="s">
        <v>210</v>
      </c>
      <c r="K43" s="9" t="s">
        <v>54</v>
      </c>
      <c r="L43" s="9" t="s">
        <v>216</v>
      </c>
      <c r="M43" s="6" t="s">
        <v>168</v>
      </c>
      <c r="N43" s="9"/>
    </row>
    <row r="44" customFormat="false" ht="91" hidden="false" customHeight="false" outlineLevel="0" collapsed="false">
      <c r="A44" s="6" t="n">
        <v>43</v>
      </c>
      <c r="B44" s="7" t="s">
        <v>223</v>
      </c>
      <c r="C44" s="8" t="s">
        <v>224</v>
      </c>
      <c r="D44" s="9" t="s">
        <v>225</v>
      </c>
      <c r="E44" s="6" t="s">
        <v>51</v>
      </c>
      <c r="F44" s="10"/>
      <c r="G44" s="10"/>
      <c r="H44" s="11"/>
      <c r="I44" s="16" t="s">
        <v>114</v>
      </c>
      <c r="J44" s="9" t="s">
        <v>210</v>
      </c>
      <c r="K44" s="9" t="s">
        <v>54</v>
      </c>
      <c r="L44" s="9" t="s">
        <v>226</v>
      </c>
      <c r="M44" s="6" t="s">
        <v>168</v>
      </c>
      <c r="N44" s="9" t="s">
        <v>227</v>
      </c>
    </row>
    <row r="45" customFormat="false" ht="23.85" hidden="false" customHeight="false" outlineLevel="0" collapsed="false">
      <c r="A45" s="6" t="n">
        <v>44</v>
      </c>
      <c r="B45" s="7" t="s">
        <v>228</v>
      </c>
      <c r="C45" s="8" t="s">
        <v>229</v>
      </c>
      <c r="D45" s="9" t="s">
        <v>230</v>
      </c>
      <c r="E45" s="6" t="s">
        <v>34</v>
      </c>
      <c r="F45" s="10"/>
      <c r="G45" s="10"/>
      <c r="H45" s="11"/>
      <c r="I45" s="15" t="s">
        <v>86</v>
      </c>
      <c r="J45" s="9" t="s">
        <v>87</v>
      </c>
      <c r="K45" s="9" t="s">
        <v>54</v>
      </c>
      <c r="L45" s="9" t="s">
        <v>231</v>
      </c>
      <c r="M45" s="6" t="s">
        <v>168</v>
      </c>
      <c r="N45" s="9"/>
    </row>
    <row r="46" customFormat="false" ht="57.45" hidden="false" customHeight="false" outlineLevel="0" collapsed="false">
      <c r="A46" s="6" t="n">
        <v>45</v>
      </c>
      <c r="B46" s="7" t="s">
        <v>232</v>
      </c>
      <c r="C46" s="8" t="s">
        <v>233</v>
      </c>
      <c r="D46" s="9" t="s">
        <v>234</v>
      </c>
      <c r="E46" s="6" t="s">
        <v>34</v>
      </c>
      <c r="F46" s="10"/>
      <c r="G46" s="10"/>
      <c r="H46" s="11"/>
      <c r="I46" s="15" t="s">
        <v>86</v>
      </c>
      <c r="J46" s="9" t="s">
        <v>235</v>
      </c>
      <c r="K46" s="9" t="s">
        <v>54</v>
      </c>
      <c r="L46" s="9" t="s">
        <v>83</v>
      </c>
      <c r="M46" s="6" t="s">
        <v>168</v>
      </c>
      <c r="N46" s="9" t="s">
        <v>236</v>
      </c>
    </row>
    <row r="47" customFormat="false" ht="15" hidden="false" customHeight="false" outlineLevel="0" collapsed="false">
      <c r="A47" s="6" t="n">
        <v>46</v>
      </c>
      <c r="B47" s="7" t="s">
        <v>237</v>
      </c>
      <c r="C47" s="8" t="s">
        <v>238</v>
      </c>
      <c r="D47" s="9" t="s">
        <v>239</v>
      </c>
      <c r="E47" s="6" t="s">
        <v>34</v>
      </c>
      <c r="F47" s="10"/>
      <c r="G47" s="10"/>
      <c r="H47" s="11"/>
      <c r="I47" s="12" t="s">
        <v>35</v>
      </c>
      <c r="J47" s="9" t="s">
        <v>97</v>
      </c>
      <c r="K47" s="9" t="s">
        <v>98</v>
      </c>
      <c r="L47" s="9"/>
      <c r="M47" s="6" t="s">
        <v>240</v>
      </c>
      <c r="N47" s="9"/>
    </row>
    <row r="48" customFormat="false" ht="23.85" hidden="false" customHeight="false" outlineLevel="0" collapsed="false">
      <c r="A48" s="6" t="n">
        <v>47</v>
      </c>
      <c r="B48" s="7" t="s">
        <v>241</v>
      </c>
      <c r="C48" s="8" t="s">
        <v>242</v>
      </c>
      <c r="D48" s="9" t="s">
        <v>243</v>
      </c>
      <c r="E48" s="6" t="s">
        <v>34</v>
      </c>
      <c r="F48" s="10"/>
      <c r="G48" s="10"/>
      <c r="H48" s="11"/>
      <c r="I48" s="14" t="s">
        <v>74</v>
      </c>
      <c r="J48" s="9" t="s">
        <v>244</v>
      </c>
      <c r="K48" s="9" t="s">
        <v>54</v>
      </c>
      <c r="L48" s="9" t="s">
        <v>77</v>
      </c>
      <c r="M48" s="6" t="s">
        <v>240</v>
      </c>
      <c r="N48" s="9"/>
    </row>
    <row r="49" customFormat="false" ht="23.85" hidden="false" customHeight="false" outlineLevel="0" collapsed="false">
      <c r="A49" s="6" t="n">
        <v>48</v>
      </c>
      <c r="B49" s="7" t="s">
        <v>245</v>
      </c>
      <c r="C49" s="8" t="s">
        <v>246</v>
      </c>
      <c r="D49" s="9" t="s">
        <v>247</v>
      </c>
      <c r="E49" s="6" t="s">
        <v>34</v>
      </c>
      <c r="F49" s="10"/>
      <c r="G49" s="10"/>
      <c r="H49" s="11"/>
      <c r="I49" s="14" t="s">
        <v>74</v>
      </c>
      <c r="J49" s="9" t="s">
        <v>244</v>
      </c>
      <c r="K49" s="9" t="s">
        <v>54</v>
      </c>
      <c r="L49" s="9" t="s">
        <v>241</v>
      </c>
      <c r="M49" s="6" t="s">
        <v>240</v>
      </c>
      <c r="N49" s="9" t="s">
        <v>248</v>
      </c>
    </row>
    <row r="50" customFormat="false" ht="35.05" hidden="false" customHeight="false" outlineLevel="0" collapsed="false">
      <c r="A50" s="6" t="n">
        <v>49</v>
      </c>
      <c r="B50" s="7" t="s">
        <v>249</v>
      </c>
      <c r="C50" s="8" t="s">
        <v>250</v>
      </c>
      <c r="D50" s="9" t="s">
        <v>251</v>
      </c>
      <c r="E50" s="6" t="s">
        <v>34</v>
      </c>
      <c r="F50" s="10"/>
      <c r="G50" s="10"/>
      <c r="H50" s="11"/>
      <c r="I50" s="16" t="s">
        <v>114</v>
      </c>
      <c r="J50" s="9" t="s">
        <v>252</v>
      </c>
      <c r="K50" s="9" t="s">
        <v>54</v>
      </c>
      <c r="L50" s="9" t="s">
        <v>131</v>
      </c>
      <c r="M50" s="6" t="s">
        <v>240</v>
      </c>
      <c r="N50" s="9" t="s">
        <v>253</v>
      </c>
    </row>
    <row r="51" customFormat="false" ht="23.85" hidden="false" customHeight="false" outlineLevel="0" collapsed="false">
      <c r="A51" s="6" t="n">
        <v>50</v>
      </c>
      <c r="B51" s="7" t="s">
        <v>254</v>
      </c>
      <c r="C51" s="8" t="s">
        <v>255</v>
      </c>
      <c r="D51" s="9" t="s">
        <v>256</v>
      </c>
      <c r="E51" s="6" t="s">
        <v>34</v>
      </c>
      <c r="F51" s="10"/>
      <c r="G51" s="10"/>
      <c r="H51" s="11"/>
      <c r="I51" s="16" t="s">
        <v>114</v>
      </c>
      <c r="J51" s="9" t="s">
        <v>252</v>
      </c>
      <c r="K51" s="9" t="s">
        <v>54</v>
      </c>
      <c r="L51" s="9" t="s">
        <v>257</v>
      </c>
      <c r="M51" s="6" t="s">
        <v>240</v>
      </c>
      <c r="N51" s="9"/>
    </row>
    <row r="52" customFormat="false" ht="23.85" hidden="false" customHeight="false" outlineLevel="0" collapsed="false">
      <c r="A52" s="6" t="n">
        <v>51</v>
      </c>
      <c r="B52" s="7" t="s">
        <v>258</v>
      </c>
      <c r="C52" s="8" t="s">
        <v>259</v>
      </c>
      <c r="D52" s="9" t="s">
        <v>260</v>
      </c>
      <c r="E52" s="6" t="s">
        <v>34</v>
      </c>
      <c r="F52" s="10"/>
      <c r="G52" s="10"/>
      <c r="H52" s="11"/>
      <c r="I52" s="16" t="s">
        <v>114</v>
      </c>
      <c r="J52" s="9" t="s">
        <v>252</v>
      </c>
      <c r="K52" s="9" t="s">
        <v>54</v>
      </c>
      <c r="L52" s="9" t="s">
        <v>249</v>
      </c>
      <c r="M52" s="6" t="s">
        <v>240</v>
      </c>
      <c r="N52" s="9" t="s">
        <v>261</v>
      </c>
    </row>
    <row r="53" customFormat="false" ht="23.85" hidden="false" customHeight="false" outlineLevel="0" collapsed="false">
      <c r="A53" s="6" t="n">
        <v>52</v>
      </c>
      <c r="B53" s="7" t="s">
        <v>262</v>
      </c>
      <c r="C53" s="8" t="s">
        <v>263</v>
      </c>
      <c r="D53" s="9" t="s">
        <v>264</v>
      </c>
      <c r="E53" s="6" t="s">
        <v>34</v>
      </c>
      <c r="F53" s="10"/>
      <c r="G53" s="10"/>
      <c r="H53" s="11"/>
      <c r="I53" s="14" t="s">
        <v>74</v>
      </c>
      <c r="J53" s="9" t="s">
        <v>153</v>
      </c>
      <c r="K53" s="9" t="s">
        <v>54</v>
      </c>
      <c r="L53" s="9" t="s">
        <v>265</v>
      </c>
      <c r="M53" s="6" t="s">
        <v>240</v>
      </c>
      <c r="N53" s="9"/>
    </row>
    <row r="54" customFormat="false" ht="23.85" hidden="false" customHeight="false" outlineLevel="0" collapsed="false">
      <c r="A54" s="6" t="n">
        <v>53</v>
      </c>
      <c r="B54" s="7" t="s">
        <v>266</v>
      </c>
      <c r="C54" s="8" t="s">
        <v>267</v>
      </c>
      <c r="D54" s="9" t="s">
        <v>268</v>
      </c>
      <c r="E54" s="6" t="s">
        <v>51</v>
      </c>
      <c r="F54" s="10"/>
      <c r="G54" s="10"/>
      <c r="H54" s="11"/>
      <c r="I54" s="15" t="s">
        <v>86</v>
      </c>
      <c r="J54" s="9" t="s">
        <v>269</v>
      </c>
      <c r="K54" s="9" t="s">
        <v>54</v>
      </c>
      <c r="L54" s="9" t="s">
        <v>270</v>
      </c>
      <c r="M54" s="6" t="s">
        <v>240</v>
      </c>
      <c r="N54" s="9" t="s">
        <v>271</v>
      </c>
    </row>
    <row r="55" customFormat="false" ht="23.85" hidden="false" customHeight="false" outlineLevel="0" collapsed="false">
      <c r="A55" s="6" t="n">
        <v>54</v>
      </c>
      <c r="B55" s="7" t="s">
        <v>272</v>
      </c>
      <c r="C55" s="8" t="s">
        <v>273</v>
      </c>
      <c r="D55" s="9" t="s">
        <v>274</v>
      </c>
      <c r="E55" s="6" t="s">
        <v>34</v>
      </c>
      <c r="F55" s="10"/>
      <c r="G55" s="10"/>
      <c r="H55" s="11"/>
      <c r="I55" s="15" t="s">
        <v>86</v>
      </c>
      <c r="J55" s="9" t="s">
        <v>269</v>
      </c>
      <c r="K55" s="9" t="s">
        <v>54</v>
      </c>
      <c r="L55" s="9" t="s">
        <v>266</v>
      </c>
      <c r="M55" s="6" t="s">
        <v>240</v>
      </c>
      <c r="N55" s="9"/>
    </row>
    <row r="56" customFormat="false" ht="23.85" hidden="false" customHeight="false" outlineLevel="0" collapsed="false">
      <c r="A56" s="6" t="n">
        <v>55</v>
      </c>
      <c r="B56" s="7" t="s">
        <v>275</v>
      </c>
      <c r="C56" s="8" t="s">
        <v>276</v>
      </c>
      <c r="D56" s="9" t="s">
        <v>277</v>
      </c>
      <c r="E56" s="6" t="s">
        <v>34</v>
      </c>
      <c r="F56" s="10"/>
      <c r="G56" s="10"/>
      <c r="H56" s="11"/>
      <c r="I56" s="15" t="s">
        <v>86</v>
      </c>
      <c r="J56" s="9" t="s">
        <v>278</v>
      </c>
      <c r="K56" s="9" t="s">
        <v>54</v>
      </c>
      <c r="L56" s="9" t="s">
        <v>279</v>
      </c>
      <c r="M56" s="6" t="s">
        <v>240</v>
      </c>
      <c r="N56" s="9"/>
    </row>
    <row r="57" customFormat="false" ht="23.85" hidden="false" customHeight="false" outlineLevel="0" collapsed="false">
      <c r="A57" s="6" t="n">
        <v>56</v>
      </c>
      <c r="B57" s="7" t="s">
        <v>280</v>
      </c>
      <c r="C57" s="8" t="s">
        <v>281</v>
      </c>
      <c r="D57" s="9" t="s">
        <v>282</v>
      </c>
      <c r="E57" s="6" t="s">
        <v>34</v>
      </c>
      <c r="F57" s="10"/>
      <c r="G57" s="10"/>
      <c r="H57" s="11"/>
      <c r="I57" s="15" t="s">
        <v>86</v>
      </c>
      <c r="J57" s="9" t="s">
        <v>278</v>
      </c>
      <c r="K57" s="9" t="s">
        <v>54</v>
      </c>
      <c r="L57" s="9" t="s">
        <v>283</v>
      </c>
      <c r="M57" s="6" t="s">
        <v>240</v>
      </c>
      <c r="N57" s="9"/>
    </row>
    <row r="58" customFormat="false" ht="23.85" hidden="false" customHeight="false" outlineLevel="0" collapsed="false">
      <c r="A58" s="6" t="n">
        <v>57</v>
      </c>
      <c r="B58" s="7" t="s">
        <v>284</v>
      </c>
      <c r="C58" s="8" t="s">
        <v>285</v>
      </c>
      <c r="D58" s="9" t="s">
        <v>286</v>
      </c>
      <c r="E58" s="6" t="s">
        <v>51</v>
      </c>
      <c r="F58" s="10"/>
      <c r="G58" s="10"/>
      <c r="H58" s="11"/>
      <c r="I58" s="15" t="s">
        <v>86</v>
      </c>
      <c r="J58" s="9" t="s">
        <v>278</v>
      </c>
      <c r="K58" s="9" t="s">
        <v>54</v>
      </c>
      <c r="L58" s="9" t="s">
        <v>287</v>
      </c>
      <c r="M58" s="6" t="s">
        <v>240</v>
      </c>
      <c r="N58" s="9"/>
    </row>
    <row r="59" customFormat="false" ht="23.85" hidden="false" customHeight="false" outlineLevel="0" collapsed="false">
      <c r="A59" s="6" t="n">
        <v>58</v>
      </c>
      <c r="B59" s="7" t="s">
        <v>288</v>
      </c>
      <c r="C59" s="8" t="s">
        <v>289</v>
      </c>
      <c r="D59" s="9" t="s">
        <v>290</v>
      </c>
      <c r="E59" s="6" t="s">
        <v>51</v>
      </c>
      <c r="F59" s="10"/>
      <c r="G59" s="10"/>
      <c r="H59" s="11"/>
      <c r="I59" s="15" t="s">
        <v>86</v>
      </c>
      <c r="J59" s="9" t="s">
        <v>278</v>
      </c>
      <c r="K59" s="9" t="s">
        <v>54</v>
      </c>
      <c r="L59" s="9" t="s">
        <v>291</v>
      </c>
      <c r="M59" s="6" t="s">
        <v>240</v>
      </c>
      <c r="N59" s="9"/>
    </row>
    <row r="60" customFormat="false" ht="23.85" hidden="false" customHeight="false" outlineLevel="0" collapsed="false">
      <c r="A60" s="6" t="n">
        <v>59</v>
      </c>
      <c r="B60" s="7" t="s">
        <v>292</v>
      </c>
      <c r="C60" s="8" t="s">
        <v>293</v>
      </c>
      <c r="D60" s="9" t="s">
        <v>294</v>
      </c>
      <c r="E60" s="6" t="s">
        <v>34</v>
      </c>
      <c r="F60" s="10"/>
      <c r="G60" s="10"/>
      <c r="H60" s="11"/>
      <c r="I60" s="14" t="s">
        <v>74</v>
      </c>
      <c r="J60" s="9" t="s">
        <v>153</v>
      </c>
      <c r="K60" s="9" t="s">
        <v>54</v>
      </c>
      <c r="L60" s="9" t="s">
        <v>295</v>
      </c>
      <c r="M60" s="6" t="s">
        <v>240</v>
      </c>
      <c r="N60" s="9" t="s">
        <v>296</v>
      </c>
    </row>
    <row r="61" customFormat="false" ht="23.85" hidden="false" customHeight="false" outlineLevel="0" collapsed="false">
      <c r="A61" s="6" t="n">
        <v>60</v>
      </c>
      <c r="B61" s="7" t="s">
        <v>297</v>
      </c>
      <c r="C61" s="8" t="s">
        <v>298</v>
      </c>
      <c r="D61" s="9" t="s">
        <v>299</v>
      </c>
      <c r="E61" s="6" t="s">
        <v>51</v>
      </c>
      <c r="F61" s="10"/>
      <c r="G61" s="10"/>
      <c r="H61" s="11"/>
      <c r="I61" s="17" t="s">
        <v>300</v>
      </c>
      <c r="J61" s="9" t="s">
        <v>301</v>
      </c>
      <c r="K61" s="9" t="s">
        <v>54</v>
      </c>
      <c r="L61" s="9" t="s">
        <v>302</v>
      </c>
      <c r="M61" s="6" t="s">
        <v>240</v>
      </c>
      <c r="N61" s="9"/>
    </row>
    <row r="62" customFormat="false" ht="23.85" hidden="false" customHeight="false" outlineLevel="0" collapsed="false">
      <c r="A62" s="6" t="n">
        <v>61</v>
      </c>
      <c r="B62" s="7" t="s">
        <v>303</v>
      </c>
      <c r="C62" s="8" t="s">
        <v>304</v>
      </c>
      <c r="D62" s="9" t="s">
        <v>305</v>
      </c>
      <c r="E62" s="6" t="s">
        <v>34</v>
      </c>
      <c r="F62" s="10"/>
      <c r="G62" s="10"/>
      <c r="H62" s="11"/>
      <c r="I62" s="17" t="s">
        <v>300</v>
      </c>
      <c r="J62" s="9" t="s">
        <v>306</v>
      </c>
      <c r="K62" s="9" t="s">
        <v>54</v>
      </c>
      <c r="L62" s="9" t="s">
        <v>117</v>
      </c>
      <c r="M62" s="6" t="s">
        <v>307</v>
      </c>
      <c r="N62" s="9" t="s">
        <v>308</v>
      </c>
    </row>
    <row r="63" customFormat="false" ht="23.85" hidden="false" customHeight="false" outlineLevel="0" collapsed="false">
      <c r="A63" s="6" t="n">
        <v>62</v>
      </c>
      <c r="B63" s="7" t="s">
        <v>309</v>
      </c>
      <c r="C63" s="8" t="s">
        <v>310</v>
      </c>
      <c r="D63" s="9" t="s">
        <v>311</v>
      </c>
      <c r="E63" s="6" t="s">
        <v>34</v>
      </c>
      <c r="F63" s="10"/>
      <c r="G63" s="10"/>
      <c r="H63" s="11"/>
      <c r="I63" s="17" t="s">
        <v>300</v>
      </c>
      <c r="J63" s="9" t="s">
        <v>301</v>
      </c>
      <c r="K63" s="9" t="s">
        <v>54</v>
      </c>
      <c r="L63" s="9" t="s">
        <v>125</v>
      </c>
      <c r="M63" s="6" t="s">
        <v>307</v>
      </c>
      <c r="N63" s="9"/>
    </row>
    <row r="64" customFormat="false" ht="23.85" hidden="false" customHeight="false" outlineLevel="0" collapsed="false">
      <c r="A64" s="6" t="n">
        <v>63</v>
      </c>
      <c r="B64" s="7" t="s">
        <v>312</v>
      </c>
      <c r="C64" s="8" t="s">
        <v>313</v>
      </c>
      <c r="D64" s="9" t="s">
        <v>314</v>
      </c>
      <c r="E64" s="6" t="s">
        <v>34</v>
      </c>
      <c r="F64" s="10"/>
      <c r="G64" s="10"/>
      <c r="H64" s="11"/>
      <c r="I64" s="17" t="s">
        <v>300</v>
      </c>
      <c r="J64" s="9" t="s">
        <v>315</v>
      </c>
      <c r="K64" s="9" t="s">
        <v>54</v>
      </c>
      <c r="L64" s="9" t="s">
        <v>241</v>
      </c>
      <c r="M64" s="6" t="s">
        <v>307</v>
      </c>
      <c r="N64" s="9"/>
    </row>
    <row r="65" customFormat="false" ht="23.85" hidden="false" customHeight="false" outlineLevel="0" collapsed="false">
      <c r="A65" s="6" t="n">
        <v>64</v>
      </c>
      <c r="B65" s="7" t="s">
        <v>316</v>
      </c>
      <c r="C65" s="8" t="s">
        <v>317</v>
      </c>
      <c r="D65" s="9" t="s">
        <v>318</v>
      </c>
      <c r="E65" s="6" t="s">
        <v>34</v>
      </c>
      <c r="F65" s="10"/>
      <c r="G65" s="10"/>
      <c r="H65" s="11"/>
      <c r="I65" s="13" t="s">
        <v>52</v>
      </c>
      <c r="J65" s="9" t="s">
        <v>53</v>
      </c>
      <c r="K65" s="9" t="s">
        <v>54</v>
      </c>
      <c r="L65" s="9" t="s">
        <v>59</v>
      </c>
      <c r="M65" s="6" t="s">
        <v>307</v>
      </c>
      <c r="N65" s="9" t="s">
        <v>319</v>
      </c>
    </row>
    <row r="66" customFormat="false" ht="23.85" hidden="false" customHeight="false" outlineLevel="0" collapsed="false">
      <c r="A66" s="6" t="n">
        <v>65</v>
      </c>
      <c r="B66" s="7" t="s">
        <v>320</v>
      </c>
      <c r="C66" s="8" t="s">
        <v>321</v>
      </c>
      <c r="D66" s="9" t="s">
        <v>322</v>
      </c>
      <c r="E66" s="6" t="s">
        <v>34</v>
      </c>
      <c r="F66" s="10"/>
      <c r="G66" s="10"/>
      <c r="H66" s="11"/>
      <c r="I66" s="13" t="s">
        <v>52</v>
      </c>
      <c r="J66" s="9" t="s">
        <v>53</v>
      </c>
      <c r="K66" s="9" t="s">
        <v>54</v>
      </c>
      <c r="L66" s="9" t="s">
        <v>48</v>
      </c>
      <c r="M66" s="6" t="s">
        <v>307</v>
      </c>
      <c r="N66" s="9"/>
    </row>
    <row r="67" customFormat="false" ht="23.85" hidden="false" customHeight="false" outlineLevel="0" collapsed="false">
      <c r="A67" s="6" t="n">
        <v>66</v>
      </c>
      <c r="B67" s="7" t="s">
        <v>323</v>
      </c>
      <c r="C67" s="8" t="s">
        <v>324</v>
      </c>
      <c r="D67" s="9" t="s">
        <v>325</v>
      </c>
      <c r="E67" s="6" t="s">
        <v>34</v>
      </c>
      <c r="F67" s="10"/>
      <c r="G67" s="10"/>
      <c r="H67" s="11"/>
      <c r="I67" s="16" t="s">
        <v>114</v>
      </c>
      <c r="J67" s="9" t="s">
        <v>115</v>
      </c>
      <c r="K67" s="9" t="s">
        <v>54</v>
      </c>
      <c r="L67" s="9" t="s">
        <v>117</v>
      </c>
      <c r="M67" s="6" t="s">
        <v>307</v>
      </c>
      <c r="N67" s="9"/>
    </row>
    <row r="68" customFormat="false" ht="23.85" hidden="false" customHeight="false" outlineLevel="0" collapsed="false">
      <c r="A68" s="6" t="n">
        <v>67</v>
      </c>
      <c r="B68" s="7" t="s">
        <v>326</v>
      </c>
      <c r="C68" s="8" t="s">
        <v>327</v>
      </c>
      <c r="D68" s="9" t="s">
        <v>328</v>
      </c>
      <c r="E68" s="6" t="s">
        <v>34</v>
      </c>
      <c r="F68" s="10"/>
      <c r="G68" s="10"/>
      <c r="H68" s="11"/>
      <c r="I68" s="16" t="s">
        <v>114</v>
      </c>
      <c r="J68" s="9" t="s">
        <v>115</v>
      </c>
      <c r="K68" s="9" t="s">
        <v>54</v>
      </c>
      <c r="L68" s="9" t="s">
        <v>117</v>
      </c>
      <c r="M68" s="6" t="s">
        <v>307</v>
      </c>
      <c r="N68" s="9" t="s">
        <v>329</v>
      </c>
    </row>
    <row r="69" customFormat="false" ht="23.85" hidden="false" customHeight="false" outlineLevel="0" collapsed="false">
      <c r="A69" s="6" t="n">
        <v>68</v>
      </c>
      <c r="B69" s="7" t="s">
        <v>330</v>
      </c>
      <c r="C69" s="8" t="s">
        <v>331</v>
      </c>
      <c r="D69" s="9" t="s">
        <v>332</v>
      </c>
      <c r="E69" s="6" t="s">
        <v>34</v>
      </c>
      <c r="F69" s="10"/>
      <c r="G69" s="10"/>
      <c r="H69" s="11"/>
      <c r="I69" s="16" t="s">
        <v>114</v>
      </c>
      <c r="J69" s="9" t="s">
        <v>128</v>
      </c>
      <c r="K69" s="9" t="s">
        <v>54</v>
      </c>
      <c r="L69" s="9" t="s">
        <v>333</v>
      </c>
      <c r="M69" s="6" t="s">
        <v>307</v>
      </c>
      <c r="N69" s="9"/>
    </row>
    <row r="70" customFormat="false" ht="23.85" hidden="false" customHeight="false" outlineLevel="0" collapsed="false">
      <c r="A70" s="6" t="n">
        <v>69</v>
      </c>
      <c r="B70" s="7" t="s">
        <v>334</v>
      </c>
      <c r="C70" s="8" t="s">
        <v>335</v>
      </c>
      <c r="D70" s="9" t="s">
        <v>336</v>
      </c>
      <c r="E70" s="6" t="s">
        <v>34</v>
      </c>
      <c r="F70" s="10"/>
      <c r="G70" s="10"/>
      <c r="H70" s="11"/>
      <c r="I70" s="13" t="s">
        <v>52</v>
      </c>
      <c r="J70" s="9" t="s">
        <v>69</v>
      </c>
      <c r="K70" s="9" t="s">
        <v>54</v>
      </c>
      <c r="L70" s="9" t="s">
        <v>337</v>
      </c>
      <c r="M70" s="6" t="s">
        <v>307</v>
      </c>
      <c r="N70" s="9" t="s">
        <v>338</v>
      </c>
    </row>
    <row r="71" customFormat="false" ht="23.85" hidden="false" customHeight="false" outlineLevel="0" collapsed="false">
      <c r="A71" s="6" t="n">
        <v>70</v>
      </c>
      <c r="B71" s="7" t="s">
        <v>339</v>
      </c>
      <c r="C71" s="8" t="s">
        <v>340</v>
      </c>
      <c r="D71" s="9" t="s">
        <v>341</v>
      </c>
      <c r="E71" s="6" t="s">
        <v>34</v>
      </c>
      <c r="F71" s="10"/>
      <c r="G71" s="10"/>
      <c r="H71" s="11"/>
      <c r="I71" s="14" t="s">
        <v>74</v>
      </c>
      <c r="J71" s="9" t="s">
        <v>244</v>
      </c>
      <c r="K71" s="9" t="s">
        <v>54</v>
      </c>
      <c r="L71" s="9" t="s">
        <v>342</v>
      </c>
      <c r="M71" s="6" t="s">
        <v>307</v>
      </c>
      <c r="N71" s="9" t="s">
        <v>343</v>
      </c>
    </row>
    <row r="72" customFormat="false" ht="23.85" hidden="false" customHeight="false" outlineLevel="0" collapsed="false">
      <c r="A72" s="6" t="n">
        <v>71</v>
      </c>
      <c r="B72" s="7" t="s">
        <v>344</v>
      </c>
      <c r="C72" s="8" t="s">
        <v>345</v>
      </c>
      <c r="D72" s="9" t="s">
        <v>346</v>
      </c>
      <c r="E72" s="6" t="s">
        <v>34</v>
      </c>
      <c r="F72" s="10"/>
      <c r="G72" s="10"/>
      <c r="H72" s="11"/>
      <c r="I72" s="14" t="s">
        <v>74</v>
      </c>
      <c r="J72" s="9" t="s">
        <v>80</v>
      </c>
      <c r="K72" s="9" t="s">
        <v>54</v>
      </c>
      <c r="L72" s="9" t="s">
        <v>347</v>
      </c>
      <c r="M72" s="6" t="s">
        <v>307</v>
      </c>
      <c r="N72" s="9"/>
    </row>
    <row r="73" customFormat="false" ht="23.85" hidden="false" customHeight="false" outlineLevel="0" collapsed="false">
      <c r="A73" s="6" t="n">
        <v>72</v>
      </c>
      <c r="B73" s="7" t="s">
        <v>348</v>
      </c>
      <c r="C73" s="8" t="s">
        <v>349</v>
      </c>
      <c r="D73" s="9" t="s">
        <v>350</v>
      </c>
      <c r="E73" s="6" t="s">
        <v>34</v>
      </c>
      <c r="F73" s="10"/>
      <c r="G73" s="10"/>
      <c r="H73" s="11"/>
      <c r="I73" s="14" t="s">
        <v>74</v>
      </c>
      <c r="J73" s="9" t="s">
        <v>75</v>
      </c>
      <c r="K73" s="9" t="s">
        <v>54</v>
      </c>
      <c r="L73" s="9" t="s">
        <v>351</v>
      </c>
      <c r="M73" s="6" t="s">
        <v>307</v>
      </c>
      <c r="N73" s="9"/>
    </row>
    <row r="74" customFormat="false" ht="23.85" hidden="false" customHeight="false" outlineLevel="0" collapsed="false">
      <c r="A74" s="6" t="n">
        <v>73</v>
      </c>
      <c r="B74" s="7" t="s">
        <v>352</v>
      </c>
      <c r="C74" s="8" t="s">
        <v>353</v>
      </c>
      <c r="D74" s="9" t="s">
        <v>354</v>
      </c>
      <c r="E74" s="6" t="s">
        <v>34</v>
      </c>
      <c r="F74" s="10"/>
      <c r="G74" s="10"/>
      <c r="H74" s="11"/>
      <c r="I74" s="14" t="s">
        <v>74</v>
      </c>
      <c r="J74" s="9" t="s">
        <v>75</v>
      </c>
      <c r="K74" s="9" t="s">
        <v>54</v>
      </c>
      <c r="L74" s="9" t="s">
        <v>355</v>
      </c>
      <c r="M74" s="6" t="s">
        <v>307</v>
      </c>
      <c r="N74" s="9" t="s">
        <v>356</v>
      </c>
    </row>
    <row r="75" customFormat="false" ht="23.85" hidden="false" customHeight="false" outlineLevel="0" collapsed="false">
      <c r="A75" s="6" t="n">
        <v>74</v>
      </c>
      <c r="B75" s="7" t="s">
        <v>357</v>
      </c>
      <c r="C75" s="8" t="s">
        <v>358</v>
      </c>
      <c r="D75" s="9" t="s">
        <v>359</v>
      </c>
      <c r="E75" s="6" t="s">
        <v>34</v>
      </c>
      <c r="F75" s="10"/>
      <c r="G75" s="10"/>
      <c r="H75" s="11"/>
      <c r="I75" s="14" t="s">
        <v>74</v>
      </c>
      <c r="J75" s="9" t="s">
        <v>360</v>
      </c>
      <c r="K75" s="9" t="s">
        <v>54</v>
      </c>
      <c r="L75" s="9" t="s">
        <v>361</v>
      </c>
      <c r="M75" s="6" t="s">
        <v>307</v>
      </c>
      <c r="N75" s="9"/>
    </row>
    <row r="76" customFormat="false" ht="68.65" hidden="false" customHeight="false" outlineLevel="0" collapsed="false">
      <c r="A76" s="6" t="n">
        <v>75</v>
      </c>
      <c r="B76" s="7" t="s">
        <v>362</v>
      </c>
      <c r="C76" s="8" t="s">
        <v>363</v>
      </c>
      <c r="D76" s="9" t="s">
        <v>364</v>
      </c>
      <c r="E76" s="6" t="s">
        <v>34</v>
      </c>
      <c r="F76" s="10"/>
      <c r="G76" s="10"/>
      <c r="H76" s="11"/>
      <c r="I76" s="14" t="s">
        <v>74</v>
      </c>
      <c r="J76" s="9" t="s">
        <v>360</v>
      </c>
      <c r="K76" s="9" t="s">
        <v>54</v>
      </c>
      <c r="L76" s="9" t="s">
        <v>357</v>
      </c>
      <c r="M76" s="6" t="s">
        <v>307</v>
      </c>
      <c r="N76" s="9" t="s">
        <v>365</v>
      </c>
    </row>
    <row r="77" customFormat="false" ht="23.85" hidden="false" customHeight="false" outlineLevel="0" collapsed="false">
      <c r="A77" s="6" t="n">
        <v>76</v>
      </c>
      <c r="B77" s="7" t="s">
        <v>366</v>
      </c>
      <c r="C77" s="8" t="s">
        <v>367</v>
      </c>
      <c r="D77" s="9" t="s">
        <v>368</v>
      </c>
      <c r="E77" s="6" t="s">
        <v>34</v>
      </c>
      <c r="F77" s="10"/>
      <c r="G77" s="10"/>
      <c r="H77" s="11"/>
      <c r="I77" s="14" t="s">
        <v>74</v>
      </c>
      <c r="J77" s="9" t="s">
        <v>360</v>
      </c>
      <c r="K77" s="9" t="s">
        <v>54</v>
      </c>
      <c r="L77" s="9" t="s">
        <v>357</v>
      </c>
      <c r="M77" s="6" t="s">
        <v>307</v>
      </c>
      <c r="N77" s="9" t="s">
        <v>369</v>
      </c>
    </row>
    <row r="78" customFormat="false" ht="23.85" hidden="false" customHeight="false" outlineLevel="0" collapsed="false">
      <c r="A78" s="6" t="n">
        <v>77</v>
      </c>
      <c r="B78" s="7" t="s">
        <v>370</v>
      </c>
      <c r="C78" s="8" t="s">
        <v>371</v>
      </c>
      <c r="D78" s="9" t="s">
        <v>372</v>
      </c>
      <c r="E78" s="6" t="s">
        <v>34</v>
      </c>
      <c r="F78" s="10"/>
      <c r="G78" s="10"/>
      <c r="H78" s="11"/>
      <c r="I78" s="14" t="s">
        <v>74</v>
      </c>
      <c r="J78" s="9" t="s">
        <v>360</v>
      </c>
      <c r="K78" s="9" t="s">
        <v>54</v>
      </c>
      <c r="L78" s="9" t="s">
        <v>373</v>
      </c>
      <c r="M78" s="6" t="s">
        <v>307</v>
      </c>
      <c r="N78" s="9" t="s">
        <v>369</v>
      </c>
    </row>
    <row r="79" customFormat="false" ht="23.85" hidden="false" customHeight="false" outlineLevel="0" collapsed="false">
      <c r="A79" s="6" t="n">
        <v>78</v>
      </c>
      <c r="B79" s="7" t="s">
        <v>374</v>
      </c>
      <c r="C79" s="8" t="s">
        <v>375</v>
      </c>
      <c r="D79" s="9" t="s">
        <v>376</v>
      </c>
      <c r="E79" s="6" t="s">
        <v>175</v>
      </c>
      <c r="F79" s="10"/>
      <c r="G79" s="10"/>
      <c r="H79" s="11"/>
      <c r="I79" s="16" t="s">
        <v>114</v>
      </c>
      <c r="J79" s="9" t="s">
        <v>210</v>
      </c>
      <c r="K79" s="9" t="s">
        <v>54</v>
      </c>
      <c r="L79" s="9" t="s">
        <v>207</v>
      </c>
      <c r="M79" s="6" t="s">
        <v>307</v>
      </c>
      <c r="N79" s="9"/>
    </row>
    <row r="80" customFormat="false" ht="23.85" hidden="false" customHeight="false" outlineLevel="0" collapsed="false">
      <c r="A80" s="6" t="n">
        <v>79</v>
      </c>
      <c r="B80" s="7" t="s">
        <v>377</v>
      </c>
      <c r="C80" s="8" t="s">
        <v>378</v>
      </c>
      <c r="D80" s="9" t="s">
        <v>379</v>
      </c>
      <c r="E80" s="6" t="s">
        <v>34</v>
      </c>
      <c r="F80" s="10"/>
      <c r="G80" s="10"/>
      <c r="H80" s="11"/>
      <c r="I80" s="16" t="s">
        <v>114</v>
      </c>
      <c r="J80" s="9" t="s">
        <v>210</v>
      </c>
      <c r="K80" s="9" t="s">
        <v>54</v>
      </c>
      <c r="L80" s="9" t="s">
        <v>380</v>
      </c>
      <c r="M80" s="6" t="s">
        <v>307</v>
      </c>
      <c r="N80" s="9" t="s">
        <v>381</v>
      </c>
    </row>
    <row r="81" customFormat="false" ht="23.85" hidden="false" customHeight="false" outlineLevel="0" collapsed="false">
      <c r="A81" s="6" t="n">
        <v>80</v>
      </c>
      <c r="B81" s="7" t="s">
        <v>382</v>
      </c>
      <c r="C81" s="8" t="s">
        <v>383</v>
      </c>
      <c r="D81" s="9" t="s">
        <v>384</v>
      </c>
      <c r="E81" s="6" t="s">
        <v>34</v>
      </c>
      <c r="F81" s="10"/>
      <c r="G81" s="10"/>
      <c r="H81" s="11"/>
      <c r="I81" s="16" t="s">
        <v>114</v>
      </c>
      <c r="J81" s="9" t="s">
        <v>210</v>
      </c>
      <c r="K81" s="9" t="s">
        <v>54</v>
      </c>
      <c r="L81" s="9" t="s">
        <v>385</v>
      </c>
      <c r="M81" s="6" t="s">
        <v>307</v>
      </c>
      <c r="N81" s="9"/>
    </row>
    <row r="82" customFormat="false" ht="23.85" hidden="false" customHeight="false" outlineLevel="0" collapsed="false">
      <c r="A82" s="6" t="n">
        <v>81</v>
      </c>
      <c r="B82" s="7" t="s">
        <v>386</v>
      </c>
      <c r="C82" s="8" t="s">
        <v>387</v>
      </c>
      <c r="D82" s="9" t="s">
        <v>388</v>
      </c>
      <c r="E82" s="6" t="s">
        <v>175</v>
      </c>
      <c r="F82" s="10"/>
      <c r="G82" s="10"/>
      <c r="H82" s="11"/>
      <c r="I82" s="16" t="s">
        <v>114</v>
      </c>
      <c r="J82" s="9" t="s">
        <v>252</v>
      </c>
      <c r="K82" s="9" t="s">
        <v>54</v>
      </c>
      <c r="L82" s="9" t="s">
        <v>258</v>
      </c>
      <c r="M82" s="6" t="s">
        <v>307</v>
      </c>
      <c r="N82" s="9"/>
    </row>
    <row r="83" customFormat="false" ht="23.85" hidden="false" customHeight="false" outlineLevel="0" collapsed="false">
      <c r="A83" s="6" t="n">
        <v>82</v>
      </c>
      <c r="B83" s="7" t="s">
        <v>389</v>
      </c>
      <c r="C83" s="8" t="s">
        <v>390</v>
      </c>
      <c r="D83" s="9" t="s">
        <v>391</v>
      </c>
      <c r="E83" s="6" t="s">
        <v>34</v>
      </c>
      <c r="F83" s="10"/>
      <c r="G83" s="10"/>
      <c r="H83" s="11"/>
      <c r="I83" s="16" t="s">
        <v>114</v>
      </c>
      <c r="J83" s="9" t="s">
        <v>252</v>
      </c>
      <c r="K83" s="9" t="s">
        <v>54</v>
      </c>
      <c r="L83" s="9" t="s">
        <v>392</v>
      </c>
      <c r="M83" s="6" t="s">
        <v>307</v>
      </c>
      <c r="N83" s="9" t="s">
        <v>393</v>
      </c>
    </row>
    <row r="84" customFormat="false" ht="23.85" hidden="false" customHeight="false" outlineLevel="0" collapsed="false">
      <c r="A84" s="6" t="n">
        <v>83</v>
      </c>
      <c r="B84" s="7" t="s">
        <v>394</v>
      </c>
      <c r="C84" s="8" t="s">
        <v>395</v>
      </c>
      <c r="D84" s="9" t="s">
        <v>396</v>
      </c>
      <c r="E84" s="6" t="s">
        <v>34</v>
      </c>
      <c r="F84" s="10"/>
      <c r="G84" s="10"/>
      <c r="H84" s="11"/>
      <c r="I84" s="16" t="s">
        <v>114</v>
      </c>
      <c r="J84" s="9" t="s">
        <v>252</v>
      </c>
      <c r="K84" s="9" t="s">
        <v>54</v>
      </c>
      <c r="L84" s="9" t="s">
        <v>397</v>
      </c>
      <c r="M84" s="6" t="s">
        <v>307</v>
      </c>
      <c r="N84" s="9"/>
    </row>
    <row r="85" customFormat="false" ht="23.85" hidden="false" customHeight="false" outlineLevel="0" collapsed="false">
      <c r="A85" s="6" t="n">
        <v>84</v>
      </c>
      <c r="B85" s="7" t="s">
        <v>398</v>
      </c>
      <c r="C85" s="8" t="s">
        <v>399</v>
      </c>
      <c r="D85" s="9" t="s">
        <v>400</v>
      </c>
      <c r="E85" s="6" t="s">
        <v>34</v>
      </c>
      <c r="F85" s="10"/>
      <c r="G85" s="10"/>
      <c r="H85" s="11"/>
      <c r="I85" s="15" t="s">
        <v>86</v>
      </c>
      <c r="J85" s="9" t="s">
        <v>235</v>
      </c>
      <c r="K85" s="9" t="s">
        <v>54</v>
      </c>
      <c r="L85" s="9" t="s">
        <v>401</v>
      </c>
      <c r="M85" s="6" t="s">
        <v>307</v>
      </c>
      <c r="N85" s="9" t="s">
        <v>402</v>
      </c>
    </row>
    <row r="86" customFormat="false" ht="23.85" hidden="false" customHeight="false" outlineLevel="0" collapsed="false">
      <c r="A86" s="6" t="n">
        <v>85</v>
      </c>
      <c r="B86" s="7" t="s">
        <v>403</v>
      </c>
      <c r="C86" s="8" t="s">
        <v>404</v>
      </c>
      <c r="D86" s="9" t="s">
        <v>405</v>
      </c>
      <c r="E86" s="6" t="s">
        <v>34</v>
      </c>
      <c r="F86" s="10"/>
      <c r="G86" s="10"/>
      <c r="H86" s="11"/>
      <c r="I86" s="15" t="s">
        <v>86</v>
      </c>
      <c r="J86" s="9" t="s">
        <v>87</v>
      </c>
      <c r="K86" s="9" t="s">
        <v>54</v>
      </c>
      <c r="L86" s="9" t="s">
        <v>406</v>
      </c>
      <c r="M86" s="6" t="s">
        <v>307</v>
      </c>
      <c r="N86" s="9" t="s">
        <v>407</v>
      </c>
    </row>
    <row r="87" customFormat="false" ht="23.85" hidden="false" customHeight="false" outlineLevel="0" collapsed="false">
      <c r="A87" s="6" t="n">
        <v>86</v>
      </c>
      <c r="B87" s="7" t="s">
        <v>408</v>
      </c>
      <c r="C87" s="8" t="s">
        <v>409</v>
      </c>
      <c r="D87" s="9" t="s">
        <v>410</v>
      </c>
      <c r="E87" s="6" t="s">
        <v>175</v>
      </c>
      <c r="F87" s="10"/>
      <c r="G87" s="10"/>
      <c r="H87" s="11"/>
      <c r="I87" s="15" t="s">
        <v>86</v>
      </c>
      <c r="J87" s="9" t="s">
        <v>235</v>
      </c>
      <c r="K87" s="9" t="s">
        <v>54</v>
      </c>
      <c r="L87" s="9" t="s">
        <v>411</v>
      </c>
      <c r="M87" s="6" t="s">
        <v>307</v>
      </c>
      <c r="N87" s="9"/>
    </row>
    <row r="88" customFormat="false" ht="23.85" hidden="false" customHeight="false" outlineLevel="0" collapsed="false">
      <c r="A88" s="6" t="n">
        <v>87</v>
      </c>
      <c r="B88" s="7" t="s">
        <v>412</v>
      </c>
      <c r="C88" s="8" t="s">
        <v>413</v>
      </c>
      <c r="D88" s="9" t="s">
        <v>414</v>
      </c>
      <c r="E88" s="6" t="s">
        <v>34</v>
      </c>
      <c r="F88" s="10"/>
      <c r="G88" s="10"/>
      <c r="H88" s="11"/>
      <c r="I88" s="15" t="s">
        <v>86</v>
      </c>
      <c r="J88" s="9" t="s">
        <v>269</v>
      </c>
      <c r="K88" s="9" t="s">
        <v>54</v>
      </c>
      <c r="L88" s="9" t="s">
        <v>63</v>
      </c>
      <c r="M88" s="6" t="s">
        <v>307</v>
      </c>
      <c r="N88" s="9"/>
    </row>
    <row r="89" customFormat="false" ht="15" hidden="false" customHeight="false" outlineLevel="0" collapsed="false">
      <c r="A89" s="6" t="n">
        <v>88</v>
      </c>
      <c r="B89" s="7" t="s">
        <v>415</v>
      </c>
      <c r="C89" s="8" t="s">
        <v>416</v>
      </c>
      <c r="D89" s="9" t="s">
        <v>417</v>
      </c>
      <c r="E89" s="6" t="s">
        <v>34</v>
      </c>
      <c r="F89" s="10"/>
      <c r="G89" s="10"/>
      <c r="H89" s="11"/>
      <c r="I89" s="15" t="s">
        <v>86</v>
      </c>
      <c r="J89" s="9" t="s">
        <v>269</v>
      </c>
      <c r="K89" s="9" t="s">
        <v>54</v>
      </c>
      <c r="L89" s="9" t="s">
        <v>418</v>
      </c>
      <c r="M89" s="6" t="s">
        <v>307</v>
      </c>
      <c r="N89" s="9"/>
    </row>
    <row r="90" customFormat="false" ht="23.85" hidden="false" customHeight="false" outlineLevel="0" collapsed="false">
      <c r="A90" s="6" t="n">
        <v>89</v>
      </c>
      <c r="B90" s="7" t="s">
        <v>419</v>
      </c>
      <c r="C90" s="8" t="s">
        <v>420</v>
      </c>
      <c r="D90" s="9" t="s">
        <v>421</v>
      </c>
      <c r="E90" s="6" t="s">
        <v>34</v>
      </c>
      <c r="F90" s="10"/>
      <c r="G90" s="10"/>
      <c r="H90" s="11"/>
      <c r="I90" s="15" t="s">
        <v>86</v>
      </c>
      <c r="J90" s="9" t="s">
        <v>269</v>
      </c>
      <c r="K90" s="9" t="s">
        <v>54</v>
      </c>
      <c r="L90" s="9" t="s">
        <v>422</v>
      </c>
      <c r="M90" s="6" t="s">
        <v>307</v>
      </c>
      <c r="N90" s="9" t="s">
        <v>423</v>
      </c>
    </row>
    <row r="91" customFormat="false" ht="23.85" hidden="false" customHeight="false" outlineLevel="0" collapsed="false">
      <c r="A91" s="6" t="n">
        <v>90</v>
      </c>
      <c r="B91" s="7" t="s">
        <v>424</v>
      </c>
      <c r="C91" s="8" t="s">
        <v>425</v>
      </c>
      <c r="D91" s="9" t="s">
        <v>426</v>
      </c>
      <c r="E91" s="6" t="s">
        <v>34</v>
      </c>
      <c r="F91" s="10"/>
      <c r="G91" s="10"/>
      <c r="H91" s="11"/>
      <c r="I91" s="15" t="s">
        <v>86</v>
      </c>
      <c r="J91" s="9" t="s">
        <v>278</v>
      </c>
      <c r="K91" s="9" t="s">
        <v>54</v>
      </c>
      <c r="L91" s="9" t="s">
        <v>427</v>
      </c>
      <c r="M91" s="6" t="s">
        <v>307</v>
      </c>
      <c r="N91" s="9"/>
    </row>
    <row r="92" customFormat="false" ht="23.85" hidden="false" customHeight="false" outlineLevel="0" collapsed="false">
      <c r="A92" s="6" t="n">
        <v>91</v>
      </c>
      <c r="B92" s="7" t="s">
        <v>428</v>
      </c>
      <c r="C92" s="8" t="s">
        <v>429</v>
      </c>
      <c r="D92" s="9" t="s">
        <v>430</v>
      </c>
      <c r="E92" s="6" t="s">
        <v>175</v>
      </c>
      <c r="F92" s="10"/>
      <c r="G92" s="10"/>
      <c r="H92" s="11"/>
      <c r="I92" s="15" t="s">
        <v>86</v>
      </c>
      <c r="J92" s="9" t="s">
        <v>180</v>
      </c>
      <c r="K92" s="9" t="s">
        <v>54</v>
      </c>
      <c r="L92" s="9" t="s">
        <v>177</v>
      </c>
      <c r="M92" s="6" t="s">
        <v>307</v>
      </c>
      <c r="N92" s="9"/>
    </row>
    <row r="93" customFormat="false" ht="23.85" hidden="false" customHeight="false" outlineLevel="0" collapsed="false">
      <c r="A93" s="6" t="n">
        <v>92</v>
      </c>
      <c r="B93" s="7" t="s">
        <v>431</v>
      </c>
      <c r="C93" s="8" t="s">
        <v>432</v>
      </c>
      <c r="D93" s="9" t="s">
        <v>433</v>
      </c>
      <c r="E93" s="6" t="s">
        <v>175</v>
      </c>
      <c r="F93" s="10"/>
      <c r="G93" s="10"/>
      <c r="H93" s="11"/>
      <c r="I93" s="17" t="s">
        <v>300</v>
      </c>
      <c r="J93" s="9" t="s">
        <v>315</v>
      </c>
      <c r="K93" s="9" t="s">
        <v>54</v>
      </c>
      <c r="L93" s="9" t="s">
        <v>77</v>
      </c>
      <c r="M93" s="6" t="s">
        <v>307</v>
      </c>
      <c r="N93" s="9"/>
    </row>
    <row r="94" customFormat="false" ht="23.85" hidden="false" customHeight="false" outlineLevel="0" collapsed="false">
      <c r="A94" s="6" t="n">
        <v>93</v>
      </c>
      <c r="B94" s="7" t="s">
        <v>434</v>
      </c>
      <c r="C94" s="8" t="s">
        <v>435</v>
      </c>
      <c r="D94" s="9" t="s">
        <v>436</v>
      </c>
      <c r="E94" s="6" t="s">
        <v>34</v>
      </c>
      <c r="F94" s="10"/>
      <c r="G94" s="10"/>
      <c r="H94" s="11"/>
      <c r="I94" s="17" t="s">
        <v>300</v>
      </c>
      <c r="J94" s="9" t="s">
        <v>306</v>
      </c>
      <c r="K94" s="9" t="s">
        <v>54</v>
      </c>
      <c r="L94" s="9" t="s">
        <v>437</v>
      </c>
      <c r="M94" s="6" t="s">
        <v>307</v>
      </c>
      <c r="N94" s="9" t="s">
        <v>438</v>
      </c>
    </row>
    <row r="95" customFormat="false" ht="23.85" hidden="false" customHeight="false" outlineLevel="0" collapsed="false">
      <c r="A95" s="6" t="n">
        <v>94</v>
      </c>
      <c r="B95" s="7" t="s">
        <v>439</v>
      </c>
      <c r="C95" s="8" t="s">
        <v>440</v>
      </c>
      <c r="D95" s="9" t="s">
        <v>441</v>
      </c>
      <c r="E95" s="6" t="s">
        <v>34</v>
      </c>
      <c r="F95" s="10"/>
      <c r="G95" s="10"/>
      <c r="H95" s="11"/>
      <c r="I95" s="17" t="s">
        <v>300</v>
      </c>
      <c r="J95" s="9" t="s">
        <v>306</v>
      </c>
      <c r="K95" s="9" t="s">
        <v>54</v>
      </c>
      <c r="L95" s="9" t="s">
        <v>434</v>
      </c>
      <c r="M95" s="6" t="s">
        <v>307</v>
      </c>
      <c r="N95" s="9"/>
    </row>
    <row r="96" customFormat="false" ht="23.85" hidden="false" customHeight="false" outlineLevel="0" collapsed="false">
      <c r="A96" s="6" t="n">
        <v>95</v>
      </c>
      <c r="B96" s="7" t="s">
        <v>442</v>
      </c>
      <c r="C96" s="8" t="s">
        <v>443</v>
      </c>
      <c r="D96" s="9" t="s">
        <v>444</v>
      </c>
      <c r="E96" s="6" t="s">
        <v>175</v>
      </c>
      <c r="F96" s="10"/>
      <c r="G96" s="10"/>
      <c r="H96" s="11"/>
      <c r="I96" s="16" t="s">
        <v>114</v>
      </c>
      <c r="J96" s="9" t="s">
        <v>210</v>
      </c>
      <c r="K96" s="9" t="s">
        <v>54</v>
      </c>
      <c r="L96" s="9" t="s">
        <v>207</v>
      </c>
      <c r="M96" s="6" t="s">
        <v>307</v>
      </c>
      <c r="N96" s="9"/>
    </row>
  </sheetData>
  <autoFilter ref="A1:N96"/>
  <conditionalFormatting sqref="E2:E96">
    <cfRule type="cellIs" priority="2" operator="equal" aboveAverage="0" equalAverage="0" bottom="0" percent="0" rank="0" text="" dxfId="13">
      <formula>"Basso"</formula>
    </cfRule>
    <cfRule type="cellIs" priority="3" operator="equal" aboveAverage="0" equalAverage="0" bottom="0" percent="0" rank="0" text="" dxfId="14">
      <formula>"Medio"</formula>
    </cfRule>
    <cfRule type="cellIs" priority="4" operator="equal" aboveAverage="0" equalAverage="0" bottom="0" percent="0" rank="0" text="" dxfId="15">
      <formula>"Alto"</formula>
    </cfRule>
  </conditionalFormatting>
  <dataValidations count="3">
    <dataValidation allowBlank="false" error="Scegli Basso, Medio o Alto" errorStyle="stop" errorTitle="Valore non valido" operator="between" showDropDown="false" showErrorMessage="false" showInputMessage="false" sqref="E2:E96" type="list">
      <formula1>"Basso,Medio,Alto"</formula1>
      <formula2>0</formula2>
    </dataValidation>
    <dataValidation allowBlank="true" error="Usa la scala 1, 2, 3, 5, 8, 13" errorStyle="stop" errorTitle="Story point non valido" operator="between" showDropDown="false" showErrorMessage="false" showInputMessage="false" sqref="F2:F96" type="list">
      <formula1>"1,2,3,5,8,13"</formula1>
      <formula2>0</formula2>
    </dataValidation>
    <dataValidation allowBlank="true" errorStyle="stop" operator="between" showDropDown="false" showErrorMessage="false" showInputMessage="false" sqref="G2:G96" type="list">
      <formula1>"x"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 min="3" style="0" width="52"/>
    <col collapsed="false" customWidth="true" hidden="false" outlineLevel="0" max="4" min="4" style="0" width="10"/>
    <col collapsed="false" customWidth="true" hidden="false" outlineLevel="0" max="5" min="5" style="0" width="14"/>
    <col collapsed="false" customWidth="true" hidden="false" outlineLevel="0" max="6" min="6" style="0" width="70"/>
  </cols>
  <sheetData>
    <row r="1" customFormat="false" ht="30" hidden="false" customHeight="true" outlineLevel="0" collapsed="false">
      <c r="A1" s="5" t="s">
        <v>25</v>
      </c>
      <c r="B1" s="5" t="s">
        <v>26</v>
      </c>
      <c r="C1" s="5" t="s">
        <v>445</v>
      </c>
      <c r="D1" s="5" t="s">
        <v>446</v>
      </c>
      <c r="E1" s="5" t="s">
        <v>447</v>
      </c>
      <c r="F1" s="5" t="s">
        <v>448</v>
      </c>
    </row>
    <row r="2" customFormat="false" ht="23.85" hidden="false" customHeight="false" outlineLevel="0" collapsed="false">
      <c r="A2" s="13" t="s">
        <v>52</v>
      </c>
      <c r="B2" s="8" t="s">
        <v>53</v>
      </c>
      <c r="C2" s="9" t="s">
        <v>449</v>
      </c>
      <c r="D2" s="6" t="n">
        <f aca="false">COUNTIF('Backlog proposto'!$J$2:$J$96,B2)</f>
        <v>4</v>
      </c>
      <c r="E2" s="6" t="n">
        <f aca="false">COUNTIFS('Backlog proposto'!$J$2:$J$96,B2,'Backlog proposto'!$E$2:$E$96,"Alto")</f>
        <v>2</v>
      </c>
      <c r="F2" s="9" t="s">
        <v>450</v>
      </c>
    </row>
    <row r="3" customFormat="false" ht="23.85" hidden="false" customHeight="false" outlineLevel="0" collapsed="false">
      <c r="A3" s="13" t="s">
        <v>52</v>
      </c>
      <c r="B3" s="8" t="s">
        <v>62</v>
      </c>
      <c r="C3" s="9" t="s">
        <v>451</v>
      </c>
      <c r="D3" s="6" t="n">
        <f aca="false">COUNTIF('Backlog proposto'!$J$2:$J$96,B3)</f>
        <v>3</v>
      </c>
      <c r="E3" s="6" t="n">
        <f aca="false">COUNTIFS('Backlog proposto'!$J$2:$J$96,B3,'Backlog proposto'!$E$2:$E$96,"Alto")</f>
        <v>2</v>
      </c>
      <c r="F3" s="9" t="s">
        <v>452</v>
      </c>
    </row>
    <row r="4" customFormat="false" ht="23.85" hidden="false" customHeight="false" outlineLevel="0" collapsed="false">
      <c r="A4" s="13" t="s">
        <v>52</v>
      </c>
      <c r="B4" s="8" t="s">
        <v>69</v>
      </c>
      <c r="C4" s="9" t="s">
        <v>453</v>
      </c>
      <c r="D4" s="6" t="n">
        <f aca="false">COUNTIF('Backlog proposto'!$J$2:$J$96,B4)</f>
        <v>7</v>
      </c>
      <c r="E4" s="6" t="n">
        <f aca="false">COUNTIFS('Backlog proposto'!$J$2:$J$96,B4,'Backlog proposto'!$E$2:$E$96,"Alto")</f>
        <v>2</v>
      </c>
      <c r="F4" s="9" t="s">
        <v>454</v>
      </c>
    </row>
    <row r="5" customFormat="false" ht="15" hidden="false" customHeight="false" outlineLevel="0" collapsed="false">
      <c r="A5" s="14" t="s">
        <v>74</v>
      </c>
      <c r="B5" s="8" t="s">
        <v>75</v>
      </c>
      <c r="C5" s="9" t="s">
        <v>455</v>
      </c>
      <c r="D5" s="6" t="n">
        <f aca="false">COUNTIF('Backlog proposto'!$J$2:$J$96,B5)</f>
        <v>3</v>
      </c>
      <c r="E5" s="6" t="n">
        <f aca="false">COUNTIFS('Backlog proposto'!$J$2:$J$96,B5,'Backlog proposto'!$E$2:$E$96,"Alto")</f>
        <v>1</v>
      </c>
      <c r="F5" s="9" t="s">
        <v>456</v>
      </c>
    </row>
    <row r="6" customFormat="false" ht="15" hidden="false" customHeight="false" outlineLevel="0" collapsed="false">
      <c r="A6" s="14" t="s">
        <v>74</v>
      </c>
      <c r="B6" s="8" t="s">
        <v>80</v>
      </c>
      <c r="C6" s="9" t="s">
        <v>457</v>
      </c>
      <c r="D6" s="6" t="n">
        <f aca="false">COUNTIF('Backlog proposto'!$J$2:$J$96,B6)</f>
        <v>3</v>
      </c>
      <c r="E6" s="6" t="n">
        <f aca="false">COUNTIFS('Backlog proposto'!$J$2:$J$96,B6,'Backlog proposto'!$E$2:$E$96,"Alto")</f>
        <v>1</v>
      </c>
      <c r="F6" s="9" t="s">
        <v>458</v>
      </c>
    </row>
    <row r="7" customFormat="false" ht="23.85" hidden="false" customHeight="false" outlineLevel="0" collapsed="false">
      <c r="A7" s="14" t="s">
        <v>74</v>
      </c>
      <c r="B7" s="8" t="s">
        <v>153</v>
      </c>
      <c r="C7" s="9" t="s">
        <v>459</v>
      </c>
      <c r="D7" s="6" t="n">
        <f aca="false">COUNTIF('Backlog proposto'!$J$2:$J$96,B7)</f>
        <v>6</v>
      </c>
      <c r="E7" s="6" t="n">
        <f aca="false">COUNTIFS('Backlog proposto'!$J$2:$J$96,B7,'Backlog proposto'!$E$2:$E$96,"Alto")</f>
        <v>2</v>
      </c>
      <c r="F7" s="9" t="s">
        <v>460</v>
      </c>
    </row>
    <row r="8" customFormat="false" ht="23.85" hidden="false" customHeight="false" outlineLevel="0" collapsed="false">
      <c r="A8" s="14" t="s">
        <v>74</v>
      </c>
      <c r="B8" s="8" t="s">
        <v>244</v>
      </c>
      <c r="C8" s="9" t="s">
        <v>461</v>
      </c>
      <c r="D8" s="6" t="n">
        <f aca="false">COUNTIF('Backlog proposto'!$J$2:$J$96,B8)</f>
        <v>3</v>
      </c>
      <c r="E8" s="6" t="n">
        <f aca="false">COUNTIFS('Backlog proposto'!$J$2:$J$96,B8,'Backlog proposto'!$E$2:$E$96,"Alto")</f>
        <v>0</v>
      </c>
      <c r="F8" s="9" t="s">
        <v>462</v>
      </c>
    </row>
    <row r="9" customFormat="false" ht="15" hidden="false" customHeight="false" outlineLevel="0" collapsed="false">
      <c r="A9" s="14" t="s">
        <v>74</v>
      </c>
      <c r="B9" s="8" t="s">
        <v>360</v>
      </c>
      <c r="C9" s="9" t="s">
        <v>463</v>
      </c>
      <c r="D9" s="6" t="n">
        <f aca="false">COUNTIF('Backlog proposto'!$J$2:$J$96,B9)</f>
        <v>4</v>
      </c>
      <c r="E9" s="6" t="n">
        <f aca="false">COUNTIFS('Backlog proposto'!$J$2:$J$96,B9,'Backlog proposto'!$E$2:$E$96,"Alto")</f>
        <v>0</v>
      </c>
      <c r="F9" s="9" t="s">
        <v>464</v>
      </c>
    </row>
    <row r="10" customFormat="false" ht="15" hidden="false" customHeight="false" outlineLevel="0" collapsed="false">
      <c r="A10" s="16" t="s">
        <v>114</v>
      </c>
      <c r="B10" s="8" t="s">
        <v>115</v>
      </c>
      <c r="C10" s="9" t="s">
        <v>465</v>
      </c>
      <c r="D10" s="6" t="n">
        <f aca="false">COUNTIF('Backlog proposto'!$J$2:$J$96,B10)</f>
        <v>5</v>
      </c>
      <c r="E10" s="6" t="n">
        <f aca="false">COUNTIFS('Backlog proposto'!$J$2:$J$96,B10,'Backlog proposto'!$E$2:$E$96,"Alto")</f>
        <v>3</v>
      </c>
      <c r="F10" s="9" t="s">
        <v>466</v>
      </c>
    </row>
    <row r="11" customFormat="false" ht="23.85" hidden="false" customHeight="false" outlineLevel="0" collapsed="false">
      <c r="A11" s="16" t="s">
        <v>114</v>
      </c>
      <c r="B11" s="8" t="s">
        <v>128</v>
      </c>
      <c r="C11" s="9" t="s">
        <v>467</v>
      </c>
      <c r="D11" s="6" t="n">
        <f aca="false">COUNTIF('Backlog proposto'!$J$2:$J$96,B11)</f>
        <v>6</v>
      </c>
      <c r="E11" s="6" t="n">
        <f aca="false">COUNTIFS('Backlog proposto'!$J$2:$J$96,B11,'Backlog proposto'!$E$2:$E$96,"Alto")</f>
        <v>2</v>
      </c>
      <c r="F11" s="9" t="s">
        <v>468</v>
      </c>
    </row>
    <row r="12" customFormat="false" ht="23.85" hidden="false" customHeight="false" outlineLevel="0" collapsed="false">
      <c r="A12" s="16" t="s">
        <v>114</v>
      </c>
      <c r="B12" s="8" t="s">
        <v>210</v>
      </c>
      <c r="C12" s="9" t="s">
        <v>469</v>
      </c>
      <c r="D12" s="6" t="n">
        <f aca="false">COUNTIF('Backlog proposto'!$J$2:$J$96,B12)</f>
        <v>9</v>
      </c>
      <c r="E12" s="6" t="n">
        <f aca="false">COUNTIFS('Backlog proposto'!$J$2:$J$96,B12,'Backlog proposto'!$E$2:$E$96,"Alto")</f>
        <v>5</v>
      </c>
      <c r="F12" s="9" t="s">
        <v>470</v>
      </c>
    </row>
    <row r="13" customFormat="false" ht="23.85" hidden="false" customHeight="false" outlineLevel="0" collapsed="false">
      <c r="A13" s="16" t="s">
        <v>114</v>
      </c>
      <c r="B13" s="8" t="s">
        <v>252</v>
      </c>
      <c r="C13" s="9" t="s">
        <v>471</v>
      </c>
      <c r="D13" s="6" t="n">
        <f aca="false">COUNTIF('Backlog proposto'!$J$2:$J$96,B13)</f>
        <v>6</v>
      </c>
      <c r="E13" s="6" t="n">
        <f aca="false">COUNTIFS('Backlog proposto'!$J$2:$J$96,B13,'Backlog proposto'!$E$2:$E$96,"Alto")</f>
        <v>0</v>
      </c>
      <c r="F13" s="9" t="s">
        <v>472</v>
      </c>
    </row>
    <row r="14" customFormat="false" ht="15" hidden="false" customHeight="false" outlineLevel="0" collapsed="false">
      <c r="A14" s="15" t="s">
        <v>86</v>
      </c>
      <c r="B14" s="8" t="s">
        <v>87</v>
      </c>
      <c r="C14" s="9" t="s">
        <v>473</v>
      </c>
      <c r="D14" s="6" t="n">
        <f aca="false">COUNTIF('Backlog proposto'!$J$2:$J$96,B14)</f>
        <v>4</v>
      </c>
      <c r="E14" s="6" t="n">
        <f aca="false">COUNTIFS('Backlog proposto'!$J$2:$J$96,B14,'Backlog proposto'!$E$2:$E$96,"Alto")</f>
        <v>1</v>
      </c>
      <c r="F14" s="9" t="s">
        <v>474</v>
      </c>
    </row>
    <row r="15" customFormat="false" ht="23.85" hidden="false" customHeight="false" outlineLevel="0" collapsed="false">
      <c r="A15" s="15" t="s">
        <v>86</v>
      </c>
      <c r="B15" s="8" t="s">
        <v>235</v>
      </c>
      <c r="C15" s="9" t="s">
        <v>475</v>
      </c>
      <c r="D15" s="6" t="n">
        <f aca="false">COUNTIF('Backlog proposto'!$J$2:$J$96,B15)</f>
        <v>3</v>
      </c>
      <c r="E15" s="6" t="n">
        <f aca="false">COUNTIFS('Backlog proposto'!$J$2:$J$96,B15,'Backlog proposto'!$E$2:$E$96,"Alto")</f>
        <v>0</v>
      </c>
      <c r="F15" s="9" t="s">
        <v>476</v>
      </c>
    </row>
    <row r="16" customFormat="false" ht="15" hidden="false" customHeight="false" outlineLevel="0" collapsed="false">
      <c r="A16" s="15" t="s">
        <v>86</v>
      </c>
      <c r="B16" s="8" t="s">
        <v>269</v>
      </c>
      <c r="C16" s="9" t="s">
        <v>477</v>
      </c>
      <c r="D16" s="6" t="n">
        <f aca="false">COUNTIF('Backlog proposto'!$J$2:$J$96,B16)</f>
        <v>5</v>
      </c>
      <c r="E16" s="6" t="n">
        <f aca="false">COUNTIFS('Backlog proposto'!$J$2:$J$96,B16,'Backlog proposto'!$E$2:$E$96,"Alto")</f>
        <v>1</v>
      </c>
      <c r="F16" s="9" t="s">
        <v>478</v>
      </c>
    </row>
    <row r="17" customFormat="false" ht="23.85" hidden="false" customHeight="false" outlineLevel="0" collapsed="false">
      <c r="A17" s="15" t="s">
        <v>86</v>
      </c>
      <c r="B17" s="8" t="s">
        <v>278</v>
      </c>
      <c r="C17" s="9" t="s">
        <v>479</v>
      </c>
      <c r="D17" s="6" t="n">
        <f aca="false">COUNTIF('Backlog proposto'!$J$2:$J$96,B17)</f>
        <v>5</v>
      </c>
      <c r="E17" s="6" t="n">
        <f aca="false">COUNTIFS('Backlog proposto'!$J$2:$J$96,B17,'Backlog proposto'!$E$2:$E$96,"Alto")</f>
        <v>2</v>
      </c>
      <c r="F17" s="9" t="s">
        <v>480</v>
      </c>
    </row>
    <row r="18" customFormat="false" ht="23.85" hidden="false" customHeight="false" outlineLevel="0" collapsed="false">
      <c r="A18" s="15" t="s">
        <v>86</v>
      </c>
      <c r="B18" s="8" t="s">
        <v>180</v>
      </c>
      <c r="C18" s="9" t="s">
        <v>481</v>
      </c>
      <c r="D18" s="6" t="n">
        <f aca="false">COUNTIF('Backlog proposto'!$J$2:$J$96,B18)</f>
        <v>2</v>
      </c>
      <c r="E18" s="6" t="n">
        <f aca="false">COUNTIFS('Backlog proposto'!$J$2:$J$96,B18,'Backlog proposto'!$E$2:$E$96,"Alto")</f>
        <v>1</v>
      </c>
      <c r="F18" s="9" t="s">
        <v>482</v>
      </c>
    </row>
    <row r="19" customFormat="false" ht="15" hidden="false" customHeight="false" outlineLevel="0" collapsed="false">
      <c r="A19" s="17" t="s">
        <v>300</v>
      </c>
      <c r="B19" s="8" t="s">
        <v>301</v>
      </c>
      <c r="C19" s="9" t="s">
        <v>483</v>
      </c>
      <c r="D19" s="6" t="n">
        <f aca="false">COUNTIF('Backlog proposto'!$J$2:$J$96,B19)</f>
        <v>2</v>
      </c>
      <c r="E19" s="6" t="n">
        <f aca="false">COUNTIFS('Backlog proposto'!$J$2:$J$96,B19,'Backlog proposto'!$E$2:$E$96,"Alto")</f>
        <v>1</v>
      </c>
      <c r="F19" s="9" t="s">
        <v>484</v>
      </c>
    </row>
    <row r="20" customFormat="false" ht="15" hidden="false" customHeight="false" outlineLevel="0" collapsed="false">
      <c r="A20" s="17" t="s">
        <v>300</v>
      </c>
      <c r="B20" s="8" t="s">
        <v>315</v>
      </c>
      <c r="C20" s="9" t="s">
        <v>485</v>
      </c>
      <c r="D20" s="6" t="n">
        <f aca="false">COUNTIF('Backlog proposto'!$J$2:$J$96,B20)</f>
        <v>2</v>
      </c>
      <c r="E20" s="6" t="n">
        <f aca="false">COUNTIFS('Backlog proposto'!$J$2:$J$96,B20,'Backlog proposto'!$E$2:$E$96,"Alto")</f>
        <v>0</v>
      </c>
      <c r="F20" s="9" t="s">
        <v>486</v>
      </c>
    </row>
    <row r="21" customFormat="false" ht="23.85" hidden="false" customHeight="false" outlineLevel="0" collapsed="false">
      <c r="A21" s="17" t="s">
        <v>300</v>
      </c>
      <c r="B21" s="8" t="s">
        <v>306</v>
      </c>
      <c r="C21" s="9" t="s">
        <v>487</v>
      </c>
      <c r="D21" s="6" t="n">
        <f aca="false">COUNTIF('Backlog proposto'!$J$2:$J$96,B21)</f>
        <v>3</v>
      </c>
      <c r="E21" s="6" t="n">
        <f aca="false">COUNTIFS('Backlog proposto'!$J$2:$J$96,B21,'Backlog proposto'!$E$2:$E$96,"Alto")</f>
        <v>0</v>
      </c>
      <c r="F21" s="9" t="s">
        <v>488</v>
      </c>
    </row>
    <row r="22" customFormat="false" ht="15" hidden="false" customHeight="false" outlineLevel="0" collapsed="false">
      <c r="A22" s="12" t="s">
        <v>35</v>
      </c>
      <c r="B22" s="8" t="s">
        <v>36</v>
      </c>
      <c r="C22" s="9" t="s">
        <v>489</v>
      </c>
      <c r="D22" s="6" t="n">
        <f aca="false">COUNTIF('Backlog proposto'!$J$2:$J$96,B22)</f>
        <v>5</v>
      </c>
      <c r="E22" s="6" t="n">
        <f aca="false">COUNTIFS('Backlog proposto'!$J$2:$J$96,B22,'Backlog proposto'!$E$2:$E$96,"Alto")</f>
        <v>0</v>
      </c>
      <c r="F22" s="9" t="s">
        <v>490</v>
      </c>
    </row>
    <row r="23" customFormat="false" ht="15" hidden="false" customHeight="false" outlineLevel="0" collapsed="false">
      <c r="A23" s="12" t="s">
        <v>35</v>
      </c>
      <c r="B23" s="8" t="s">
        <v>97</v>
      </c>
      <c r="C23" s="9" t="s">
        <v>491</v>
      </c>
      <c r="D23" s="6" t="n">
        <f aca="false">COUNTIF('Backlog proposto'!$J$2:$J$96,B23)</f>
        <v>5</v>
      </c>
      <c r="E23" s="6" t="n">
        <f aca="false">COUNTIFS('Backlog proposto'!$J$2:$J$96,B23,'Backlog proposto'!$E$2:$E$96,"Alto")</f>
        <v>2</v>
      </c>
      <c r="F23" s="9" t="s">
        <v>492</v>
      </c>
    </row>
    <row r="24" customFormat="false" ht="15" hidden="false" customHeight="false" outlineLevel="0" collapsed="false">
      <c r="C24" s="18" t="s">
        <v>493</v>
      </c>
      <c r="D24" s="19" t="n">
        <f aca="false">SUM(D2:D23)</f>
        <v>95</v>
      </c>
      <c r="E24" s="19" t="n">
        <f aca="false">SUM(E2:E23)</f>
        <v>28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90"/>
    <col collapsed="false" customWidth="true" hidden="false" outlineLevel="0" max="4" min="4" style="0" width="28"/>
    <col collapsed="false" customWidth="true" hidden="false" outlineLevel="0" max="5" min="5" style="0" width="22"/>
    <col collapsed="false" customWidth="true" hidden="false" outlineLevel="0" max="6" min="6" style="0" width="40"/>
  </cols>
  <sheetData>
    <row r="1" customFormat="false" ht="30" hidden="false" customHeight="true" outlineLevel="0" collapsed="false">
      <c r="A1" s="5" t="s">
        <v>494</v>
      </c>
      <c r="B1" s="5" t="s">
        <v>495</v>
      </c>
      <c r="C1" s="5" t="s">
        <v>496</v>
      </c>
      <c r="D1" s="5" t="s">
        <v>497</v>
      </c>
      <c r="E1" s="5" t="s">
        <v>498</v>
      </c>
      <c r="F1" s="5" t="s">
        <v>499</v>
      </c>
    </row>
    <row r="2" customFormat="false" ht="35.05" hidden="false" customHeight="false" outlineLevel="0" collapsed="false">
      <c r="A2" s="7" t="s">
        <v>500</v>
      </c>
      <c r="B2" s="9" t="s">
        <v>501</v>
      </c>
      <c r="C2" s="9" t="s">
        <v>502</v>
      </c>
      <c r="D2" s="9" t="s">
        <v>503</v>
      </c>
      <c r="E2" s="6" t="s">
        <v>504</v>
      </c>
      <c r="F2" s="16"/>
    </row>
    <row r="3" customFormat="false" ht="23.85" hidden="false" customHeight="false" outlineLevel="0" collapsed="false">
      <c r="A3" s="7" t="s">
        <v>505</v>
      </c>
      <c r="B3" s="9" t="s">
        <v>506</v>
      </c>
      <c r="C3" s="9" t="s">
        <v>507</v>
      </c>
      <c r="D3" s="9" t="s">
        <v>508</v>
      </c>
      <c r="E3" s="6" t="s">
        <v>504</v>
      </c>
      <c r="F3" s="16"/>
    </row>
    <row r="4" customFormat="false" ht="23.85" hidden="false" customHeight="false" outlineLevel="0" collapsed="false">
      <c r="A4" s="7" t="s">
        <v>509</v>
      </c>
      <c r="B4" s="9" t="s">
        <v>510</v>
      </c>
      <c r="C4" s="9" t="s">
        <v>511</v>
      </c>
      <c r="D4" s="9" t="s">
        <v>512</v>
      </c>
      <c r="E4" s="6" t="s">
        <v>504</v>
      </c>
      <c r="F4" s="16"/>
    </row>
    <row r="5" customFormat="false" ht="23.85" hidden="false" customHeight="false" outlineLevel="0" collapsed="false">
      <c r="A5" s="7" t="s">
        <v>513</v>
      </c>
      <c r="B5" s="9" t="s">
        <v>506</v>
      </c>
      <c r="C5" s="9" t="s">
        <v>514</v>
      </c>
      <c r="D5" s="9" t="s">
        <v>515</v>
      </c>
      <c r="E5" s="6" t="s">
        <v>516</v>
      </c>
      <c r="F5" s="16"/>
    </row>
    <row r="6" customFormat="false" ht="23.85" hidden="false" customHeight="false" outlineLevel="0" collapsed="false">
      <c r="A6" s="7" t="s">
        <v>517</v>
      </c>
      <c r="B6" s="9" t="s">
        <v>518</v>
      </c>
      <c r="C6" s="9" t="s">
        <v>519</v>
      </c>
      <c r="D6" s="9" t="s">
        <v>389</v>
      </c>
      <c r="E6" s="6" t="s">
        <v>520</v>
      </c>
      <c r="F6" s="16"/>
    </row>
    <row r="7" customFormat="false" ht="23.85" hidden="false" customHeight="false" outlineLevel="0" collapsed="false">
      <c r="A7" s="7" t="s">
        <v>521</v>
      </c>
      <c r="B7" s="9" t="s">
        <v>522</v>
      </c>
      <c r="C7" s="9" t="s">
        <v>523</v>
      </c>
      <c r="D7" s="9" t="s">
        <v>524</v>
      </c>
      <c r="E7" s="6" t="s">
        <v>504</v>
      </c>
      <c r="F7" s="16"/>
    </row>
    <row r="8" customFormat="false" ht="15" hidden="false" customHeight="false" outlineLevel="0" collapsed="false">
      <c r="A8" s="7" t="s">
        <v>525</v>
      </c>
      <c r="B8" s="9" t="s">
        <v>526</v>
      </c>
      <c r="C8" s="9" t="s">
        <v>527</v>
      </c>
      <c r="D8" s="9" t="s">
        <v>352</v>
      </c>
      <c r="E8" s="6" t="s">
        <v>504</v>
      </c>
      <c r="F8" s="16"/>
    </row>
    <row r="9" customFormat="false" ht="23.85" hidden="false" customHeight="false" outlineLevel="0" collapsed="false">
      <c r="A9" s="7" t="s">
        <v>528</v>
      </c>
      <c r="B9" s="9" t="s">
        <v>529</v>
      </c>
      <c r="C9" s="9" t="s">
        <v>530</v>
      </c>
      <c r="D9" s="9" t="s">
        <v>531</v>
      </c>
      <c r="E9" s="6" t="s">
        <v>520</v>
      </c>
      <c r="F9" s="16"/>
    </row>
    <row r="10" customFormat="false" ht="23.85" hidden="false" customHeight="false" outlineLevel="0" collapsed="false">
      <c r="A10" s="7" t="s">
        <v>532</v>
      </c>
      <c r="B10" s="9" t="s">
        <v>529</v>
      </c>
      <c r="C10" s="9" t="s">
        <v>533</v>
      </c>
      <c r="D10" s="9" t="s">
        <v>83</v>
      </c>
      <c r="E10" s="6" t="s">
        <v>516</v>
      </c>
      <c r="F10" s="16"/>
    </row>
    <row r="11" customFormat="false" ht="23.85" hidden="false" customHeight="false" outlineLevel="0" collapsed="false">
      <c r="A11" s="7" t="s">
        <v>534</v>
      </c>
      <c r="B11" s="9" t="s">
        <v>535</v>
      </c>
      <c r="C11" s="9" t="s">
        <v>536</v>
      </c>
      <c r="D11" s="9" t="s">
        <v>537</v>
      </c>
      <c r="E11" s="6" t="s">
        <v>516</v>
      </c>
      <c r="F11" s="16"/>
    </row>
    <row r="12" customFormat="false" ht="15" hidden="false" customHeight="false" outlineLevel="0" collapsed="false">
      <c r="A12" s="7" t="s">
        <v>538</v>
      </c>
      <c r="B12" s="9" t="s">
        <v>539</v>
      </c>
      <c r="C12" s="9" t="s">
        <v>540</v>
      </c>
      <c r="D12" s="9" t="s">
        <v>316</v>
      </c>
      <c r="E12" s="6" t="s">
        <v>520</v>
      </c>
      <c r="F12" s="16"/>
    </row>
    <row r="13" customFormat="false" ht="23.85" hidden="false" customHeight="false" outlineLevel="0" collapsed="false">
      <c r="A13" s="7" t="s">
        <v>541</v>
      </c>
      <c r="B13" s="9" t="s">
        <v>542</v>
      </c>
      <c r="C13" s="9" t="s">
        <v>543</v>
      </c>
      <c r="D13" s="9" t="s">
        <v>544</v>
      </c>
      <c r="E13" s="6" t="s">
        <v>504</v>
      </c>
      <c r="F13" s="16"/>
    </row>
    <row r="14" customFormat="false" ht="23.85" hidden="false" customHeight="false" outlineLevel="0" collapsed="false">
      <c r="A14" s="7" t="s">
        <v>545</v>
      </c>
      <c r="B14" s="9" t="s">
        <v>546</v>
      </c>
      <c r="C14" s="9" t="s">
        <v>547</v>
      </c>
      <c r="D14" s="9" t="s">
        <v>141</v>
      </c>
      <c r="E14" s="6" t="s">
        <v>504</v>
      </c>
      <c r="F14" s="16"/>
    </row>
    <row r="15" customFormat="false" ht="35.05" hidden="false" customHeight="false" outlineLevel="0" collapsed="false">
      <c r="A15" s="7" t="s">
        <v>548</v>
      </c>
      <c r="B15" s="9" t="s">
        <v>549</v>
      </c>
      <c r="C15" s="9" t="s">
        <v>550</v>
      </c>
      <c r="D15" s="9" t="s">
        <v>551</v>
      </c>
      <c r="E15" s="6" t="s">
        <v>520</v>
      </c>
      <c r="F15" s="16"/>
    </row>
    <row r="16" customFormat="false" ht="23.85" hidden="false" customHeight="false" outlineLevel="0" collapsed="false">
      <c r="A16" s="7" t="s">
        <v>552</v>
      </c>
      <c r="B16" s="9" t="s">
        <v>553</v>
      </c>
      <c r="C16" s="9" t="s">
        <v>554</v>
      </c>
      <c r="D16" s="9" t="s">
        <v>47</v>
      </c>
      <c r="E16" s="6" t="s">
        <v>520</v>
      </c>
      <c r="F16" s="16"/>
    </row>
    <row r="17" customFormat="false" ht="23.85" hidden="false" customHeight="false" outlineLevel="0" collapsed="false">
      <c r="A17" s="7" t="s">
        <v>555</v>
      </c>
      <c r="B17" s="9" t="s">
        <v>556</v>
      </c>
      <c r="C17" s="9" t="s">
        <v>557</v>
      </c>
      <c r="D17" s="9" t="s">
        <v>558</v>
      </c>
      <c r="E17" s="6" t="s">
        <v>520</v>
      </c>
      <c r="F17" s="16"/>
    </row>
    <row r="18" customFormat="false" ht="15" hidden="false" customHeight="false" outlineLevel="0" collapsed="false">
      <c r="A18" s="7" t="s">
        <v>559</v>
      </c>
      <c r="B18" s="9" t="s">
        <v>560</v>
      </c>
      <c r="C18" s="9" t="s">
        <v>561</v>
      </c>
      <c r="D18" s="9" t="s">
        <v>419</v>
      </c>
      <c r="E18" s="6" t="s">
        <v>520</v>
      </c>
      <c r="F18" s="16"/>
    </row>
    <row r="19" customFormat="false" ht="23.85" hidden="false" customHeight="false" outlineLevel="0" collapsed="false">
      <c r="A19" s="7" t="s">
        <v>562</v>
      </c>
      <c r="B19" s="9" t="s">
        <v>563</v>
      </c>
      <c r="C19" s="9" t="s">
        <v>564</v>
      </c>
      <c r="D19" s="9" t="s">
        <v>434</v>
      </c>
      <c r="E19" s="6" t="s">
        <v>504</v>
      </c>
      <c r="F19" s="16"/>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2026-10-27T09:16:14Z</dcterms:created>
  <dc:creator>openpyxl</dc:creator>
  <dc:description/>
  <dc:language>en-US</dc:language>
  <cp:lastModifiedBy/>
  <dcterms:modified xsi:type="dcterms:W3CDTF">2026-10-27T09:16:14Z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