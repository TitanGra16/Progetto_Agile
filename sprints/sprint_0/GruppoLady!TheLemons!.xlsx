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xr:revisionPtr revIDLastSave="0" documentId="8_{9B3CA281-BDD2-487F-BEB4-6A24A9BB0D7C}" xr6:coauthVersionLast="47" xr6:coauthVersionMax="47" xr10:uidLastSave="{00000000-0000-0000-0000-000000000000}"/>
  <bookViews>
    <workbookView xWindow="-120" yWindow="-120" windowWidth="29040" windowHeight="15840" firstSheet="2" xr2:uid="{00000000-000D-0000-FFFF-FFFF00000000}"/>
  </bookViews>
  <sheets>
    <sheet name="Product Backlog" sheetId="1" r:id="rId1"/>
    <sheet name="Temi_Epiche" sheetId="7" r:id="rId2"/>
    <sheet name="Spezzamenti" sheetId="2" r:id="rId3"/>
    <sheet name="Foglio Gandolfo" sheetId="5" r:id="rId4"/>
    <sheet name="Foglio Annarella" sheetId="4" r:id="rId5"/>
    <sheet name="Foglio Peppe" sheetId="3" r:id="rId6"/>
    <sheet name="Foglio Tessari" sheetId="6" r:id="rId7"/>
  </sheets>
  <definedNames>
    <definedName name="_xlnm._FilterDatabase" localSheetId="0" hidden="1">'Product Backlog'!$A$4:$J$30</definedName>
    <definedName name="_xlnm._FilterDatabase" localSheetId="2" hidden="1">Spezzamenti!$A$3:$E$40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 i="1" l="1"/>
  <c r="M8" i="1"/>
  <c r="M6" i="1"/>
  <c r="M7" i="1"/>
  <c r="M10" i="1"/>
</calcChain>
</file>

<file path=xl/sharedStrings.xml><?xml version="1.0" encoding="utf-8"?>
<sst xmlns="http://schemas.openxmlformats.org/spreadsheetml/2006/main" count="860" uniqueCount="354">
  <si>
    <t>Ordine</t>
  </si>
  <si>
    <t>ID</t>
  </si>
  <si>
    <t>Tema</t>
  </si>
  <si>
    <t>Epica</t>
  </si>
  <si>
    <t>Titolo</t>
  </si>
  <si>
    <t>Descrizione</t>
  </si>
  <si>
    <t>Criteri di accettazione</t>
  </si>
  <si>
    <t>Valore di business</t>
  </si>
  <si>
    <t>Story Point</t>
  </si>
  <si>
    <t>Nello sprint? (x)</t>
  </si>
  <si>
    <t>Sprint Planning</t>
  </si>
  <si>
    <t>UE-01</t>
  </si>
  <si>
    <t>T1</t>
  </si>
  <si>
    <t>E1.1</t>
  </si>
  <si>
    <t>Registrazione iscritto</t>
  </si>
  <si>
    <t>Come addetto alla reception, voglio registrare i dati di un nuovo iscritto, così da poter gestire il suo abbonamento e le sue attività.</t>
  </si>
  <si>
    <t>1) Dato che sono la reception, quando inserisco nome, cognome, data di nascita, un recapito e confermo, allora l'iscritto compare in anagrafica con un codice univoco.
2) Dato che esiste già un iscritto con gli stessi dati identificativi, quando provo a registrarlo, allora vedo un avviso di possibile duplicato.</t>
  </si>
  <si>
    <t>Alto</t>
  </si>
  <si>
    <t>Capacità dichiarata dal team (punti)</t>
  </si>
  <si>
    <t>UE-02</t>
  </si>
  <si>
    <t>Ricerca iscritto</t>
  </si>
  <si>
    <t>Come addetto alla reception, voglio cercare un iscritto per nome, cognome o codice, così da trovarlo subito mentre è al banco.</t>
  </si>
  <si>
    <t>1) Dato che esistono più iscritti con lo stesso cognome, quando cerco per cognome, allora vedo l'elenco di tutti quelli corrispondenti con nome e codice.
2) Dato che nessun iscritto corrisponde, quando cerco, allora compare un avviso con scritto "Iscritto non trovato".</t>
  </si>
  <si>
    <t>Medio</t>
  </si>
  <si>
    <t>Punti selezionati</t>
  </si>
  <si>
    <t>UE-03</t>
  </si>
  <si>
    <t>E1.2</t>
  </si>
  <si>
    <t>Accedere con le mie credenziali</t>
  </si>
  <si>
    <t>Come utente registrato, voglio accedere con le mie credenziali personali, così da usare il sistema in modo sicuro e riconoscibile.</t>
  </si>
  <si>
    <t>1) Dato che ho credenziali valide, quando le inserisco, allora accedo alle funzioni che mi spettano.
2) Dato che le credenziali sono sbagliate, quando provo ad accedere, allora vedo un messaggio di errore e non entro.
3) Dato che ho effettuato l'accesso, quando esco, allora per rientrare devo inserire di nuovo le credenziali.</t>
  </si>
  <si>
    <t>Punti ancora disponibili</t>
  </si>
  <si>
    <t>UE-04</t>
  </si>
  <si>
    <t>Vedere solo le funzioni del mio ruolo</t>
  </si>
  <si>
    <t>Come gestore, voglio che ogni utente possa utilizzare soltanto le funzioni dei ruoli che gli sono stati assegnati, così da evitare operazioni non autorizzate.</t>
  </si>
  <si>
    <t>1) Dato che sono un iscritto, quando accedo, allora non vedo le funzioni riservate a reception, istruttori e gestore.
2) Dato che sono la reception, quando accedo, allora posso registrare iscritti e ingressi.
3) Dato che un utente è sia iscritto sia istruttore, quando accede al sistema, allora può utilizzare le funzioni previste per entrambi i ruoli.</t>
  </si>
  <si>
    <t>Voci stimate (numero)</t>
  </si>
  <si>
    <t>UE-05</t>
  </si>
  <si>
    <t>E1.3</t>
  </si>
  <si>
    <t>Registrare o aggiornare un certificato medico cartaceo</t>
  </si>
  <si>
    <t>Come addetto alla reception, voglio registrare il certificato medico cartaceo di un iscritto dopo averlo controllato, così da tenerne traccia e conoscerne la scadenza.</t>
  </si>
  <si>
    <t>1) Dato che un iscritto consegna un certificato medico valido, quando la reception lo controlla, ne registra una copia e inserisce la scadenza, allora il certificato risulta verificato e valido fino alla data indicata.
2) Dato che la data di scadenza è già passata, quando provo a registrarlo, allora vedo un avviso e il certificato non risulta valido.</t>
  </si>
  <si>
    <t>Voci da spezzare</t>
  </si>
  <si>
    <t>UE-06</t>
  </si>
  <si>
    <t>Proteggere i dati del certificato</t>
  </si>
  <si>
    <t>Come iscritto, voglio che il mio certificato medico sia visibile solo a me e al personale autorizzato, così da proteggere i miei dati sanitari.</t>
  </si>
  <si>
    <t>1) Dato che sono un altro iscritto, quando cerco di vedere il certificato di una persona diversa da me, allora non è accessibile.
2) Dato che sono la reception, quando consulto la scheda di un iscritto, allora vedo lo stato e la scadenza del suo certificato.</t>
  </si>
  <si>
    <t>Esito</t>
  </si>
  <si>
    <t>UE-07</t>
  </si>
  <si>
    <t>Bloccare le prenotazioni senza certificato valido</t>
  </si>
  <si>
    <t>Come gestore, voglio che chi ha il certificato scaduto o non ancora verificato non possa prenotare, così da evitare accessi non regolari al centro.</t>
  </si>
  <si>
    <t>1) Dato che il mio certificato è scaduto, quando provo a prenotare, allora la prenotazione è rifiutata con il motivo «certificato scaduto».
2) Dato che il mio certificato scade domani, quando prenoto una lezione di oggi, allora la prenotazione è accettata.
3) Dato che il mio certificato non è ancora stato verificato, quando provo a prenotare, allora la prenotazione è rifiutata con il motivo «certificato in attesa di verifica».
4) Dato che il mio certificato scade domani, quando provo a prenotare una lezione prevista tra tre giorni, allora il sistema rifiuta la prenotazione perché il certificato non sarà più valido.</t>
  </si>
  <si>
    <t>UE-08</t>
  </si>
  <si>
    <t>T2</t>
  </si>
  <si>
    <t>E2.1</t>
  </si>
  <si>
    <t>Gestire i tipi di abbonamento</t>
  </si>
  <si>
    <t>Come gestore, voglio definire i tipi di abbonamento disponibili con i relativi prezzi, durate e servizi inclusi, così da offrire soluzioni diverse agli iscritti.</t>
  </si>
  <si>
    <t>1) Dato che sono il gestore, quando definisco un pacchetto da 10 ingressi a 100 €, allora il piano risulta disponibile nel listino con i servizi inclusi.</t>
  </si>
  <si>
    <t>UE-09</t>
  </si>
  <si>
    <t>E2.4</t>
  </si>
  <si>
    <t>Registrare un pagamento in reception</t>
  </si>
  <si>
    <t>Come addetto alla reception, voglio registrare il pagamento di un abbonamento, così da tenere traccia degli incassi e confermare l'acquisto dell'iscritto.</t>
  </si>
  <si>
    <t>1) Dato un acquisto in reception, quando viene registrato un pagamento riuscito, allora il sistema salva importo, data, metodo di pagamento e abbonamento associato.</t>
  </si>
  <si>
    <t>UE-10</t>
  </si>
  <si>
    <t>E2.2</t>
  </si>
  <si>
    <t>Assegnare un abbonamento in reception</t>
  </si>
  <si>
    <t>Come addetto alla reception, voglio assegnare un abbonamento a un iscritto, così da permettergli di utilizzare i servizi previsti dal piano acquistato.</t>
  </si>
  <si>
    <t>1) Dato un iscritto senza abbonamento attivo, quando la reception registra correttamente l'acquisto e il pagamento, allora l'abbonamento viene attivato con le condizioni previste.
2) Dato un iscritto con un abbonamento già attivo, quando viene acquistato un rinnovo, allora il sistema impedisce che due abbonamenti siano attivi contemporaneamente.</t>
  </si>
  <si>
    <t>UE-11</t>
  </si>
  <si>
    <t>Emettere la ricevuta</t>
  </si>
  <si>
    <t>Come iscritto, voglio ricevere una ricevuta per ogni pagamento, così da avere la prova del versamento.</t>
  </si>
  <si>
    <t>UE-12</t>
  </si>
  <si>
    <t>Visualizzare l'abbonamento attivo</t>
  </si>
  <si>
    <t>Come iscritto, voglio consultare le informazioni del mio abbonamento, così da conoscere i servizi disponibili, la scadenza e gli eventuali ingressi residui.</t>
  </si>
  <si>
    <t>1) Dato che possiedo un pacchetto da 10 ingressi, ne ho consumati 4 e non ne ho riservati altri, quando consulto il mio abbonamento, allora vedo 6 ingressi disponibili.
2) Dato che possiedo un abbonamento mensile scaduto, quando consulto le sue informazioni, allora vedo che non è più valido.</t>
  </si>
  <si>
    <t>UE-13</t>
  </si>
  <si>
    <t>T3</t>
  </si>
  <si>
    <t>E3.1</t>
  </si>
  <si>
    <t>Definire strutture e capienze</t>
  </si>
  <si>
    <t>Come gestore, voglio definire le sale dei corsi, la sala pesi e la piscina con le rispettive capienze e gli orari disponibili, così da non superare il numero massimo di persone consentito.</t>
  </si>
  <si>
    <t>1) Dato che sono il gestore, quando registro una sala con capienza di 20 persone, allora la struttura compare con il limite di 20 posti.
2) Dato che inserisco una capienza pari a zero o negativa, quando provo a salvare, allora il sistema mostra un errore.</t>
  </si>
  <si>
    <t>UE-14</t>
  </si>
  <si>
    <t>T4</t>
  </si>
  <si>
    <t>E4.3</t>
  </si>
  <si>
    <t>Indicare la mia disponibilità settimanale</t>
  </si>
  <si>
    <t>Come istruttore, voglio indicare i giorni e gli orari in cui sono disponibile, così da permettere al gestore di organizzare i corsi.</t>
  </si>
  <si>
    <t>1) Dato che sono disponibile il lunedì dalle 15:00 alle 19:00, quando salvo i miei orari, allora il gestore può consultarli durante l'organizzazione dei corsi.</t>
  </si>
  <si>
    <t>UE-15</t>
  </si>
  <si>
    <t>Assegnare titolare e supplenti a un corso</t>
  </si>
  <si>
    <t>Come gestore, voglio assegnare a ogni corso un istruttore titolare e uno o più supplenti, così da organizzare le lezioni e avere dei sostituti in caso di assenza.</t>
  </si>
  <si>
    <t>UE-16</t>
  </si>
  <si>
    <t>Creare un corso ricorrente</t>
  </si>
  <si>
    <t>Come gestore, voglio creare un corso ricorrente indicando sala, giorno, orario, durata e numero massimo di posti, così da organizzare il palinsesto settimanale.</t>
  </si>
  <si>
    <t>1) Dato che creo un corso di Yoga ogni mercoledì alle 18:30, con durata di 60 minuti e capienza di 20 persone, quando confermo, allora le lezioni compaiono nel calendario ogni mercoledì.
2) Dato che una sala è già occupata dalle 18:00 alle 19:00, quando provo a programmare un altro corso nella stessa sala dalle 18:30 alle 19:30, allora il sistema impedisce la sovrapposizione.</t>
  </si>
  <si>
    <t>UE-17</t>
  </si>
  <si>
    <t>Vedere la scaletta con i posti liberi</t>
  </si>
  <si>
    <t>Come iscritto, voglio vedere la scaletta con i posti ancora liberi per ogni lezione, così da scegliere cosa prenotare.</t>
  </si>
  <si>
    <t>1) Dato che una lezione ha 20 posti e 17 prenotati, quando guardo il palinsesto, allora vedo «3 posti liberi».
2) Dato che la lezione è piena, quando guardo il palinsesto, allora vedo «completo».</t>
  </si>
  <si>
    <t>UE-18</t>
  </si>
  <si>
    <t>E2.3</t>
  </si>
  <si>
    <t>Riservare token alla prenotazione</t>
  </si>
  <si>
    <t>Come iscritto con abbonamento a ingressi, voglio che nel momento in cui la mia prenotazione è confermata il sistema metta da parte un credito del mio abbonamento, così da non prenotare più attività di quelle che posso pagare.</t>
  </si>
  <si>
    <t>1) Dato che ho un credito disponibile, quando confermo una prenotazione, allora il credito viene riservato e non è più disponibile per un'altra prenotazione.</t>
  </si>
  <si>
    <t>UE-19</t>
  </si>
  <si>
    <t>E3.2</t>
  </si>
  <si>
    <t>Prenotare un posto in un corso</t>
  </si>
  <si>
    <t>Come iscritto, voglio prenotare un posto in una lezione con posti liberi, così da essere sicuro di averlo.</t>
  </si>
  <si>
    <t>1) Dato che la lezione ha posti liberi, quando prenoto, allora la prenotazione è confermata e i posti liberi diminuiscono di uno.
2) Dato che la lezione è piena, quando provo a prenotare, allora vedo che è completa e la prenotazione non viene creata.
3) Dato che ho già una prenotazione per quella lezione, quando provo a prenotare di nuovo, allora vedo un avviso.
4) Dato che ho un certificato valido, un abbonamento utilizzabile e nessun'altra prenotazione sovrapposta, quando prenoto una lezione con posti disponibili, allora la prenotazione viene confermata.</t>
  </si>
  <si>
    <t>UE-20</t>
  </si>
  <si>
    <t>Evitare prenotazioni sovrapposte</t>
  </si>
  <si>
    <t>Come iscritto, voglio essere avvisato se provo a prenotare due attività che si sovrappongono, così da evitare di impegnare due posti nello stesso orario.</t>
  </si>
  <si>
    <t>1) Dato che ho una prenotazione confermata dalle 18:00 alle 19:00, quando provo a confermare un'altra prenotazione dalle 18:30 alle 19:30, allora il sistema la rifiuta perché gli orari si sovrappongono.
2) Dato che sono in lista d'attesa per un corso alle 18:00, quando chiedo di entrare nella lista d'attesa di un altro corso nello stesso orario, allora il sistema me lo permette perché non ho ancora una prenotazione confermata.</t>
  </si>
  <si>
    <t>UE-21</t>
  </si>
  <si>
    <t>Prenotare sala pesi o piscina</t>
  </si>
  <si>
    <t>Come iscritto, voglio prenotare un posto in sala pesi o in piscina nella fascia che mi serve, così da non trovare il centro pieno.</t>
  </si>
  <si>
    <t>1) Dato che una fascia di sala pesi dalle 16:00 alle 18:00 ha posti disponibili, quando la prenoto, allora il sistema conferma la prenotazione per 120 minuti.
2) Dato che una fascia ha raggiunto la capienza massima, quando provo a prenotarla, allora il sistema non conferma la richiesta.</t>
  </si>
  <si>
    <t>UE-22</t>
  </si>
  <si>
    <t>Vedere le mie prenotazioni</t>
  </si>
  <si>
    <t>Come iscritto, voglio vedere le mie prenotazioni future e il loro stato (confermata, in lista d'attesa), così da organizzarmi.</t>
  </si>
  <si>
    <t>UE-23</t>
  </si>
  <si>
    <t>Cancellare una prenotazione</t>
  </si>
  <si>
    <t>Come iscritto, voglio cancellare una mia prenotazione, così da liberare il posto se non posso andare.</t>
  </si>
  <si>
    <t>UE-24</t>
  </si>
  <si>
    <t>Restituire un credito dopo una cancellazione tempestiva.</t>
  </si>
  <si>
    <t>Come iscritto con abbonamento a ingressi, voglio recuperare il credito riservato quando cancello una prenotazione in tempo, così da poterlo utilizzare per un'altra attività.</t>
  </si>
  <si>
    <t>1) Dato che ho una prenotazione confermata per un'attività che inizierà tra 3 ore, quando la cancello, allora il credito riservato torna disponibile.</t>
  </si>
  <si>
    <t>UE-25</t>
  </si>
  <si>
    <t>E4.1</t>
  </si>
  <si>
    <t>Registrare un ingresso in struttura</t>
  </si>
  <si>
    <t>Come reception, voglio registrare l'ingresso di un iscritto e vedere se può accedere, così da non far entrare chi non è in regola con certificato, pagamenti o altro.</t>
  </si>
  <si>
    <t>1) Dato che l'iscritto ha certificato e abbonamento validi, quando registro l'ingresso, allora vedo «ammesso» e l'ingresso viene registrato con data e ora.</t>
  </si>
  <si>
    <t>UE-26</t>
  </si>
  <si>
    <t>Vedere il motivo del rifiuto ingresso</t>
  </si>
  <si>
    <t>Come reception, voglio vedere il motivo preciso del rifiuto (certificato scaduto, abbonamento scaduto, fuori fascia oraria, ingressi esauriti).</t>
  </si>
  <si>
    <t>1) Dato che un iscritto ha un abbonamento valido solo per le attività mattutine, quando prova ad accedere a un'attività che inizia alle 17:00, allora il sistema rifiuta l'accesso indicando «fuori fascia oraria».
2) Dato che un iscritto ha 0 crediti disponibili ma una prenotazione confermata con un credito già riservato, quando la reception controlla il suo ingresso, allora non lo rifiuta per ingressi esauriti, se gli altri requisiti sono validi.</t>
  </si>
  <si>
    <t>UE-27</t>
  </si>
  <si>
    <t>E4.2</t>
  </si>
  <si>
    <t>Registrare un'uscita</t>
  </si>
  <si>
    <t>Come reception, voglio registrare l'uscita di un iscritto, così da sapere chi è ancora nella struttura e chi invece è già uscito.</t>
  </si>
  <si>
    <t>1) Dato che un iscritto non risulta attualmente presente nella struttura, quando la reception prova a registrare la sua uscita, allora il sistema mostra un avviso.</t>
  </si>
  <si>
    <t>UE-28</t>
  </si>
  <si>
    <t>Registrare la presenza a una lezione</t>
  </si>
  <si>
    <t>Come istruttore, voglio segnare gli iscritti che partecipano alle mie lezioni, così da sapere chi era presente e registrare correttamente la partecipazione.</t>
  </si>
  <si>
    <t>1) Dato che un iscritto ha prenotato una lezione, quando l'istruttore registra la sua presenza, allora la partecipazione viene salvata e l'eventuale credito riservato risulta consumato.</t>
  </si>
  <si>
    <t>UE-29</t>
  </si>
  <si>
    <t>Registrare la presenza in sala pesi o piscina</t>
  </si>
  <si>
    <t>Come addetto alla reception, voglio registrare la presenza di un iscritto nella fascia di sala pesi o piscina che ha prenotato, così da sapere se ha utilizzato l'attività.</t>
  </si>
  <si>
    <t>UE-30</t>
  </si>
  <si>
    <t>Un ingresso per ogni attività</t>
  </si>
  <si>
    <t>Come iscritto con abbonamento a ingressi, voglio che ogni attività a cui partecipo consumi un solo credito, così da conoscere il costo in ingressi delle mie attività.</t>
  </si>
  <si>
    <t>1) Dato che ho 5 crediti disponibili, quando partecipo a un corso e successivamente a una sessione in piscina, allora il sistema consuma complessivamente 2 crediti.
2) Dato che ho un abbonamento mensile illimitato valido, quando partecipo a un'attività inclusa, allora non viene sottratto alcun credito numerico.</t>
  </si>
  <si>
    <t>UE-31</t>
  </si>
  <si>
    <t>Vedere i presenti e i posti prenotati</t>
  </si>
  <si>
    <t>Come addetto alla reception, voglio vedere quante persone sono presenti nel centro e quanti posti sono prenotati nelle varie attività, così da controllare l'affluenza e le capienze.</t>
  </si>
  <si>
    <t>1) Dato che sono stati registrati 12 ingressi e 3 uscite, quando la reception consulta le presenze attuali, allora vede 9 persone presenti nel centro.</t>
  </si>
  <si>
    <t>UE-32</t>
  </si>
  <si>
    <t>Registrare le assenze alle attività</t>
  </si>
  <si>
    <t>Come gestore, voglio che il sistema registri gli iscritti che non si presentano alle attività prenotate, così da applicare le penalità previste.</t>
  </si>
  <si>
    <t>UE-33</t>
  </si>
  <si>
    <t>Perdere l'ingresso se cancello tardi o non mi presento</t>
  </si>
  <si>
    <t>Come gestore, voglio che gli iscritti con un pacchetto a ingressi perdano il credito quando cancellano troppo tardi o non partecipano all'attività prenotata, così da limitare le prenotazioni non utilizzate.</t>
  </si>
  <si>
    <t>UE-34</t>
  </si>
  <si>
    <t>E3.4</t>
  </si>
  <si>
    <t>Bloccare temporaneamente le nuove prenotazioni</t>
  </si>
  <si>
    <t>Come gestore, voglio bloccare per 5 giorni le nuove prenotazioni degli iscritti con abbonamento mensile o annuale che cancellano troppo tardi o non si presentano, così da limitare i posti occupati inutilmente.</t>
  </si>
  <si>
    <t>1)Dato che un iscritto con abbonamento mensile cancella a meno di 2 ore dall'inizio, quando prova a fare una nuova prenotazione durante i 5 giorni successivi, allora il sistema la rifiuta.</t>
  </si>
  <si>
    <t>UE-35</t>
  </si>
  <si>
    <t>E3.3</t>
  </si>
  <si>
    <t>Mettermi in lista d'attesa</t>
  </si>
  <si>
    <t>Come iscritto, voglio entrare in lista d'attesa quando la lezione è piena, così da avere una possibilità se si libera un posto.</t>
  </si>
  <si>
    <t>1) Dato che la lezione è piena, quando scelgo la lista d'attesa, allora risulto in coda con la mia posizione.
2) Dato che sono già in coda per quella lezione, quando provo a rimettermi, allora vedo un avviso.</t>
  </si>
  <si>
    <t>UE-36</t>
  </si>
  <si>
    <t>Offrire il posto solo a chi è idoneo</t>
  </si>
  <si>
    <t>Come gestore, voglio che il posto venga offerto solo agli iscritti che possono partecipare alla lezione, così da evitare di assegnarlo a persone non in regola.</t>
  </si>
  <si>
    <t>1) Dato che il primo iscritto in lista d'attesa ha il certificato medico scaduto, quando si libera un posto, allora il sistema passa al successivo iscritto idoneo.</t>
  </si>
  <si>
    <t>UE-37</t>
  </si>
  <si>
    <t>Ricevere l'offerta di subentro</t>
  </si>
  <si>
    <t>Come iscritto in lista d'attesa, voglio ricevere una notifica quando si libera un posto, così da decidere se subentrare.</t>
  </si>
  <si>
    <t>UE-38</t>
  </si>
  <si>
    <t>E4.5</t>
  </si>
  <si>
    <t>Vedere le mie notifiche</t>
  </si>
  <si>
    <t>Come utente registrato (gestore, istruttore, iscritti), voglio vedere le mie notifiche nel sistema, così da non perdermi avvisi sulle prenotazioni.</t>
  </si>
  <si>
    <t>1) Dato che ho una nuova notifica, quando apro l'elenco, allora la vedo in cima.
2) Dato che non ho notifiche, quando apro l'elenco, allora vedo un messaggio che dice che non ne ho di nuove.</t>
  </si>
  <si>
    <t>UE-39</t>
  </si>
  <si>
    <t>Accettare o rifiutare l'offerta</t>
  </si>
  <si>
    <t>Come iscritto, voglio accettare o rifiutare l'offerta di subentro entro un tempo limite, così da prendere il posto o liberarlo senza conseguenze.</t>
  </si>
  <si>
    <t>1) Dato che ho un'offerta valida e possiedo ancora tutti i requisiti per partecipare, quando la accetto entro il termine, allora la prenotazione viene confermata ed esco dalla lista d'attesa.</t>
  </si>
  <si>
    <t>UE-40</t>
  </si>
  <si>
    <t>Passare l'offerta al successivo</t>
  </si>
  <si>
    <t>Come iscritto in lista d'attesa, voglio che l'offerta passi al successivo se il primo rifiuta o non risponde in tempo, così da non lasciare posti vuoti.</t>
  </si>
  <si>
    <t>UE-41</t>
  </si>
  <si>
    <t>Dare priorità a chi rimane più volte in lista d'attesa</t>
  </si>
  <si>
    <t>Come iscritto, voglio avere una possibilità maggiore di ottenere un posto quando rimango escluso più volte dallo stesso corso, così da non restare sempre fuori.</t>
  </si>
  <si>
    <t>1) Dato che sono rimasto escluso per tre settimane consecutive dallo stesso corso, senza aver rifiutato un posto offerto, quando entro nella lista d'attesa dell'edizione successiva, allora ricevo priorità alta.</t>
  </si>
  <si>
    <t>UE-42</t>
  </si>
  <si>
    <t>E4.4</t>
  </si>
  <si>
    <t>Annullare le lezioni sotto il numero minimo di iscritti</t>
  </si>
  <si>
    <t>Come gestore, voglio che le lezioni con meno iscritti del numero minimo previsto vengano annullate, così da evitare di tenere corsi con troppo pochi partecipanti.</t>
  </si>
  <si>
    <t>1) 1. Dato che un corso richiede almeno 5 iscritti e ha soltanto 3 prenotazioni confermate, quando manca un'ora all'inizio, allora il sistema annulla la lezione e avvisa gli iscritti.</t>
  </si>
  <si>
    <t>UE-43</t>
  </si>
  <si>
    <t>Riavere l'ingresso se la lezione salta</t>
  </si>
  <si>
    <t>Come iscritto, voglio riavere automaticamente l'ingresso se l'attività viene annullata, così da non essere penalizzato per un qualcosa che non dipende da me.</t>
  </si>
  <si>
    <t>UE-44</t>
  </si>
  <si>
    <t>Vedere i miei corsi e i prenotati</t>
  </si>
  <si>
    <t>Come istruttore, voglio vedere i miei corsi e gli iscritti prenotati a ciascuna lezione, così da sapere chi parteciperà e preparare l'attività.</t>
  </si>
  <si>
    <t>Basso</t>
  </si>
  <si>
    <t>UE-45</t>
  </si>
  <si>
    <t>Segnalare che non posso tenere una lezione</t>
  </si>
  <si>
    <t>Come istruttore titolare, voglio segnalare che non posso tenere una lezione, così da dare tempo al centro di trovare un sostituto.</t>
  </si>
  <si>
    <t>UE-46</t>
  </si>
  <si>
    <t>Proporre la sostituzione ai supplenti</t>
  </si>
  <si>
    <t>Come supplente, voglio ricevere la richiesta di sostituire una lezione e accettare o rifiutare, così da dare la mia disponibilità solo se posso.</t>
  </si>
  <si>
    <t>UE-47</t>
  </si>
  <si>
    <t>Annullare la lezione se nessun supplente accetta</t>
  </si>
  <si>
    <t>Come gestore, voglio che una lezione venga annullata se il titolare è assente e nessun supplente può sostituirlo, così da non lasciare programmata una lezione senza istruttore.</t>
  </si>
  <si>
    <t>UE-48</t>
  </si>
  <si>
    <t>Avvisare gli iscritti del cambio di istruttore</t>
  </si>
  <si>
    <t>Come iscritto prenotato, voglio essere avvisato se cambia l'istruttore della mia lezione, così da sapere chi terrà il corso.</t>
  </si>
  <si>
    <t>UE-49</t>
  </si>
  <si>
    <t>Ricevere gli avvisi anche via e-mail</t>
  </si>
  <si>
    <t>Come iscritto, voglio ricevere gli avvisi importanti anche via e-mail, così da vederli senza aprire il sistema.</t>
  </si>
  <si>
    <t>UE-50</t>
  </si>
  <si>
    <t>Registrazione autonoma</t>
  </si>
  <si>
    <t>Come nuovo iscritto, voglio registrarmi da solo con i miei dati, così da non dover passare dalla reception per iniziare.</t>
  </si>
  <si>
    <t>UE-51</t>
  </si>
  <si>
    <t>Caricamento autonomo del certificato medico</t>
  </si>
  <si>
    <t>Come iscritto, voglio caricare il file del mio certificato medico dal sistema, così da non dover portare il cartaceo in reception.</t>
  </si>
  <si>
    <t>UE-52</t>
  </si>
  <si>
    <t>Validare un certificato caricato</t>
  </si>
  <si>
    <t>Come addetto alla reception, voglio controllare e validare un certificato medico caricato da un iscritto, così da permettergli di prenotare e accedere alle attività.</t>
  </si>
  <si>
    <t>UE-53</t>
  </si>
  <si>
    <t>Vedere lo stato del mio certificato</t>
  </si>
  <si>
    <t>Come iscritto, voglio vedere se il mio certificato è valido, in attesa di verifica o scaduto e fino a quando vale, così da sapere se posso prenotare ed entrare.</t>
  </si>
  <si>
    <t>1) Dato che il mio certificato è valido, quando apro il mio profilo, allora vedo «valido» e la data di scadenza.
2) Dato che il mio certificato è scaduto, quando apro il mio profilo, allora vedo «scaduto» e l'indicazione di portarne uno nuovo.</t>
  </si>
  <si>
    <t>UE-54</t>
  </si>
  <si>
    <t>Avvisi di scadenza del certificato</t>
  </si>
  <si>
    <t>Come iscritto, voglio ricevere avvisi prima che il mio certificato scada , così da rinnovarlo in tempo.</t>
  </si>
  <si>
    <t>1) Dato un certificato medico, quando mancano 6 mesi alla scadenza, allora ricevo un avviso.
2) Dato un certificato medico, quando manca 1 mese alla scadenza, allora ricevo un avviso.
3) Dato un certificato medico, quando manca una settimana alla scadenza, allora ricevo un avviso.
4) Dato un certificato medico, quando manca 1 giorno alla scadenza, allora ricevo un avviso.
5) Dato un certificato medico, quando mancano 4 giorni alla scadenza, allora ricevo un avviso.</t>
  </si>
  <si>
    <t>UE-55</t>
  </si>
  <si>
    <t>Correggere i dati di un iscritto</t>
  </si>
  <si>
    <t>Come addetto alla reception, voglio correggere i dati anagrafici di un iscritto, così da mantenere aggiornate le informazioni presenti nel sistema.</t>
  </si>
  <si>
    <t>1) Dato un iscritto registrato, quando la reception modifica un dato anagrafico e salva, allora il nuovo valore compare nella sua scheda.</t>
  </si>
  <si>
    <t>UE-56</t>
  </si>
  <si>
    <t>Cambiare i miei dati anagrafici</t>
  </si>
  <si>
    <t>Come iscritto, voglio aggiornare i miei recapiti personali, così da poter essere contattato dalla palestra con informazioni corrette.</t>
  </si>
  <si>
    <t>1) Dato che sono un iscritto autenticato, quando modifico il mio numero di telefono e salvo, allora il nuovo recapito viene registrato.</t>
  </si>
  <si>
    <t>UE-57</t>
  </si>
  <si>
    <t>Modificare le mie credenziali</t>
  </si>
  <si>
    <t>Come utente registrato, voglio poter cambiare la mia password, così da mantenere sicuro il mio account.</t>
  </si>
  <si>
    <t>UE-58</t>
  </si>
  <si>
    <t>Pagare online</t>
  </si>
  <si>
    <t>Come iscritto, voglio acquistare e pagare un abbonamento direttamente dal sistema, così da non dover passare in reception.</t>
  </si>
  <si>
    <t>UE-59</t>
  </si>
  <si>
    <t>Abbonamento ridotto per studenti</t>
  </si>
  <si>
    <t>Come studente, voglio acquistare un pacchetto a ingressi scontato, così da poter frequentare le attività nella fascia mattutina a un prezzo ridotto.</t>
  </si>
  <si>
    <t>1) Dato che sono riconosciuto come studente, quando acquisto un pacchetto da 10 ingressi, allora pago 80 € anziché 100 €.</t>
  </si>
  <si>
    <t>UE-60</t>
  </si>
  <si>
    <t>E2.5</t>
  </si>
  <si>
    <t>Congelare un abbonamento per infortunio</t>
  </si>
  <si>
    <t>Come addetto alla reception, voglio sospendere temporaneamente l'abbonamento di un iscritto infortunato, così da permettergli di recuperare i giorni di abbonamento che non può utilizzare.</t>
  </si>
  <si>
    <t>1) Dato un iscritto con abbonamento mensile o annuale attivo e documentazione medica valida per l'infortunio, quando la reception approva un periodo di congelamento, allora l'abbonamento risulta sospeso nel periodo indicato.
2) Dato che viene approvato un congelamento di 10 giorni, quando viene aggiornata la scadenza dell'abbonamento, allora questa viene posticipata di 10 giorni.</t>
  </si>
  <si>
    <t>UE-61</t>
  </si>
  <si>
    <t>Gestire le prenotazioni durante il congelamento</t>
  </si>
  <si>
    <t>Come iscritto con abbonamento congelato, voglio che le prenotazioni comprese nel periodo di sospensione vengano annullate senza penalità, così da non occupare posti che non posso utilizzare.</t>
  </si>
  <si>
    <t>UE-62</t>
  </si>
  <si>
    <t>T5</t>
  </si>
  <si>
    <t>E5.3</t>
  </si>
  <si>
    <t>Conservare lo storico delle lezioni</t>
  </si>
  <si>
    <t>Come gestore, voglio conservare lo storico delle lezioni svolte e annullate, così da poter controllare l'andamento dei corsi nel tempo.</t>
  </si>
  <si>
    <t>UE-63</t>
  </si>
  <si>
    <t>E5.1</t>
  </si>
  <si>
    <t>Vedere l'affluenza per fascia oraria e giorno</t>
  </si>
  <si>
    <t>Come gestore, voglio vedere quanti ingressi ci sono per fascia oraria e giorno della settimana, così da capire quando il centro è più frequentato.</t>
  </si>
  <si>
    <t>UE-64</t>
  </si>
  <si>
    <t>Vedere l'affluenza dei corsi</t>
  </si>
  <si>
    <t>Come gestore, voglio vedere quanti iscritti partecipano effettivamente ai diversi corsi, così da capire quali sono i più frequentati.</t>
  </si>
  <si>
    <t>UE-65</t>
  </si>
  <si>
    <t>E5.2</t>
  </si>
  <si>
    <t>Vedere gli incassi per periodo e tipo</t>
  </si>
  <si>
    <t>Come gestore, voglio vedere gli incassi per periodo e tipo di abbonamento, così da capire cosa rende di più.</t>
  </si>
  <si>
    <t>UE-66</t>
  </si>
  <si>
    <t>Vedere l'andamento degli abbonamenti</t>
  </si>
  <si>
    <t>Come gestore, voglio vedere nuovi abbonamenti, rinnovi e scadenze nel tempo, così da prevedere gli incassi.</t>
  </si>
  <si>
    <t>UE-67</t>
  </si>
  <si>
    <t>Segnalare i corsi con troppi annullamenti</t>
  </si>
  <si>
    <t>Come gestore, voglio ricevere un avviso quando un corso viene annullato troppo spesso, così da decidere se mantenerlo o eliminarlo dal palinsesto.</t>
  </si>
  <si>
    <t>UE-68</t>
  </si>
  <si>
    <t>Interrompere un corso ricorrente</t>
  </si>
  <si>
    <t>Come gestore, voglio interrompere un corso che non viene più organizzato, così da eliminarlo dalle prossime lezioni senza perdere lo storico di quelle passate.</t>
  </si>
  <si>
    <t>Nome tema</t>
  </si>
  <si>
    <t>Nome Epica</t>
  </si>
  <si>
    <t>Anagrafica, accesso e conformità sanitaria</t>
  </si>
  <si>
    <t>Registrazione e anagrafica iscritti</t>
  </si>
  <si>
    <t>Creare, correggere e cercare gli iscritti.</t>
  </si>
  <si>
    <t>Accesso e ruoli</t>
  </si>
  <si>
    <t>Login, funzioni per ruolo, persone con più ruoli.</t>
  </si>
  <si>
    <t>Certificato medico</t>
  </si>
  <si>
    <t>Registrazione, caricamento, validazione, stato, blocco delle prenotazioni, avvisi, privacy.</t>
  </si>
  <si>
    <t>Abbonamenti, crediti e pagamenti</t>
  </si>
  <si>
    <t>Tipi di abbonamento</t>
  </si>
  <si>
    <t>Listino: tipi, servizi inclusi, fasce orarie, prezzi.</t>
  </si>
  <si>
    <t>Assegnazione e consultazione abbonamenti</t>
  </si>
  <si>
    <t>Vendita in reception, vista dell'iscritto, rinnovo.</t>
  </si>
  <si>
    <t>Crediti (ingressi)</t>
  </si>
  <si>
    <t>Riserva, consumo, restituzione e perdita degli ingressi.</t>
  </si>
  <si>
    <t>Pagamenti e ricevute</t>
  </si>
  <si>
    <t>Registrare i pagamenti, emettere ricevute, pagare dal sistema.</t>
  </si>
  <si>
    <t>Congelamento per infortunio</t>
  </si>
  <si>
    <t>Congelare, limite di 30 giorni l'anno, scadenza, prenotazioni.</t>
  </si>
  <si>
    <t>Palinsesto, prenotazioni e liste d'attesa</t>
  </si>
  <si>
    <t>Palinsesto e strutture</t>
  </si>
  <si>
    <t>Strutture con capienza, corsi fissi, lezioni, soglia minima.</t>
  </si>
  <si>
    <t>Prenotazioni</t>
  </si>
  <si>
    <t>Prenotare, cancellare, vedere le proprie prenotazioni, evitare sovrapposizioni.</t>
  </si>
  <si>
    <t>Liste d'attesa e subentri</t>
  </si>
  <si>
    <t>Coda, offerta di subentro con tempo limite, idoneità, più liste nello stesso orario.</t>
  </si>
  <si>
    <t>Priorità e penalità</t>
  </si>
  <si>
    <t>Penalità per cancellazioni tardive e assenze, blocco temporaneo, bonus di priorità.</t>
  </si>
  <si>
    <t>Operatività giornaliera</t>
  </si>
  <si>
    <t>Controllo accessi</t>
  </si>
  <si>
    <t>Registrare l'ingresso con esito e motivo del rifiuto.</t>
  </si>
  <si>
    <t>Uscite e presenze</t>
  </si>
  <si>
    <t>Registrare le uscite, vedere chi è presente, posti liberi per fascia.</t>
  </si>
  <si>
    <t>Istruttori</t>
  </si>
  <si>
    <t>Disponibilità, titolari e supplenti, i miei corsi, buchi d'orario.</t>
  </si>
  <si>
    <t>Sostituzioni e annullamenti</t>
  </si>
  <si>
    <t>Richiesta ai supplenti, avvisi di cambio istruttore, annullamento della lezione.</t>
  </si>
  <si>
    <t>Notifiche</t>
  </si>
  <si>
    <t>Elenco delle notifiche nel sistema, e-mail.</t>
  </si>
  <si>
    <t>Monitoraggio e statistiche del gestore</t>
  </si>
  <si>
    <t>Affluenza e occupazione</t>
  </si>
  <si>
    <t>Ingressi per fascia e giorno, occupazione dei corsi.</t>
  </si>
  <si>
    <t>Incassi e abbonamenti</t>
  </si>
  <si>
    <t>Incassi per periodo e tipo, andamento degli abbonamenti.</t>
  </si>
  <si>
    <t>Storico corsi e chiusura</t>
  </si>
  <si>
    <t>Storico delle lezioni, segnalazione dei corsi con troppi annullamenti, chiusura.</t>
  </si>
  <si>
    <t>ID originale</t>
  </si>
  <si>
    <t>Nuova ID</t>
  </si>
  <si>
    <t>Nuova user story (Come… voglio… così che…)</t>
  </si>
  <si>
    <t xml:space="preserve">Come addetto alla reception, voglio registrare i dati di un nuovo iscritto, così da poter gestire il suo abbonamento e le sue attività.
</t>
  </si>
  <si>
    <t xml:space="preserve">Come addetto alla reception, voglio cercare un iscritto per nome, cognome o codice, così da trovarlo subito mentre è al banco.
</t>
  </si>
  <si>
    <t xml:space="preserve">Come nuovo iscritto, voglio registrarmi da solo con i miei dati, così da non dover passare dalla reception per iniziare.
</t>
  </si>
  <si>
    <t xml:space="preserve">Caricamento autonomo del certificato medico </t>
  </si>
  <si>
    <t xml:space="preserve">Come iscritto, voglio vedere se il mio certificato è valido, in attesa di verifica o scaduto e fino a quando vale, così da sapere se posso prenotare ed entrare.
</t>
  </si>
  <si>
    <t xml:space="preserve">Come iscritto, voglio che il mio certificato medico sia visibile solo a me e al personale autorizzato, così da proteggere i miei dati sanitari.
</t>
  </si>
  <si>
    <t>Aggiornare i miei recapiti</t>
  </si>
  <si>
    <t xml:space="preserve">Come gestore, voglio che chi ha il certificato scaduto o non ancora verificato non possa prenotare, così da evitare accessi non regolari al centro.
</t>
  </si>
  <si>
    <t xml:space="preserve">Un ingresso per ogni attività </t>
  </si>
  <si>
    <t>Come gestore, voglio creare un corso ricorrente indicando sala, giorno, orario, durata, numero minimo di iscritti e numero massimo di posti, così da organizzare il palinsesto settimanale.</t>
  </si>
  <si>
    <t xml:space="preserve">Cancellare una prenotazione
</t>
  </si>
  <si>
    <t xml:space="preserve">TEMA 4
</t>
  </si>
  <si>
    <t>Come addetto alla reception, voglio vedere il motivo per cui un iscritto non può entrare, così da potergli spiegare cosa non va.</t>
  </si>
  <si>
    <t>1) Dato che un corso richiede almeno 5 iscritti e ha soltanto 3 prenotazioni confermate, quando manca un'ora all'inizio, allora il sistema annulla la lezione e avvisa gli iscritti.</t>
  </si>
  <si>
    <t>TEMA 5</t>
  </si>
  <si>
    <t>1) Dato che nelle ultime 10 lezioni programmate di un corso, già trascorse, 7 sono state annullate, quando il gestore consulta le segnalazioni, allora il sistema segnala il corso senza eliminarlo automaticamente.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</si>
</sst>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6"/>
      <color rgb="FF1F3864"/>
      <name val="Calibri"/>
    </font>
    <font>
      <i/>
      <sz val="11"/>
      <color rgb="FF555555"/>
      <name val="Calibri"/>
    </font>
    <font>
      <b/>
      <sz val="12"/>
      <color rgb="FFFFFFFF"/>
      <name val="Calibri"/>
    </font>
    <font>
      <sz val="11"/>
      <name val="Calibri"/>
    </font>
    <font>
      <b/>
      <sz val="11"/>
      <name val="Calibri"/>
    </font>
    <font>
      <b/>
      <sz val="14"/>
      <color rgb="FF1F3864"/>
      <name val="Calibri"/>
    </font>
    <font>
      <b/>
      <sz val="14"/>
      <name val="Calibri"/>
    </font>
    <font>
      <b/>
      <sz val="13"/>
      <color rgb="FFFFFFFF"/>
      <name val="Calibri"/>
    </font>
    <font>
      <b/>
      <sz val="12"/>
      <name val="Calibri"/>
    </font>
    <font>
      <b/>
      <sz val="10"/>
      <name val="Arial"/>
      <charset val="1"/>
    </font>
    <font>
      <sz val="10"/>
      <name val="Arial"/>
      <charset val="1"/>
    </font>
    <font>
      <b/>
      <sz val="11"/>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rgb="FF1F3864"/>
      </patternFill>
    </fill>
    <fill>
      <patternFill patternType="solid">
        <fgColor rgb="FFFFF2CC"/>
      </patternFill>
    </fill>
    <fill>
      <patternFill patternType="solid">
        <fgColor theme="0"/>
        <bgColor indexed="64"/>
      </patternFill>
    </fill>
    <fill>
      <patternFill patternType="solid">
        <fgColor theme="4"/>
        <bgColor indexed="64"/>
      </patternFill>
    </fill>
  </fills>
  <borders count="9">
    <border>
      <left/>
      <right/>
      <top/>
      <bottom/>
      <diagonal/>
    </border>
    <border>
      <left style="thin">
        <color rgb="FFBBBBBB"/>
      </left>
      <right style="thin">
        <color rgb="FFBBBBBB"/>
      </right>
      <top style="thin">
        <color rgb="FFBBBBBB"/>
      </top>
      <bottom style="thin">
        <color rgb="FFBBBBBB"/>
      </bottom>
      <diagonal/>
    </border>
    <border>
      <left style="thin">
        <color rgb="FFBFBFBF"/>
      </left>
      <right style="thin">
        <color rgb="FFBFBFBF"/>
      </right>
      <top style="thin">
        <color rgb="FFBFBFBF"/>
      </top>
      <bottom style="thin">
        <color rgb="FFBFBFBF"/>
      </bottom>
      <diagonal/>
    </border>
    <border>
      <left style="thin">
        <color rgb="FFBBBBBB"/>
      </left>
      <right style="thin">
        <color rgb="FFBBBBBB"/>
      </right>
      <top style="thin">
        <color rgb="FFBBBBBB"/>
      </top>
      <bottom/>
      <diagonal/>
    </border>
    <border>
      <left style="thin">
        <color rgb="FFBBBBBB"/>
      </left>
      <right/>
      <top style="thin">
        <color rgb="FFBBBBBB"/>
      </top>
      <bottom style="thin">
        <color rgb="FFBBBBBB"/>
      </bottom>
      <diagonal/>
    </border>
    <border>
      <left style="thin">
        <color theme="1" tint="0.249977111117893"/>
      </left>
      <right style="thin">
        <color theme="1" tint="0.249977111117893"/>
      </right>
      <top style="thin">
        <color theme="1" tint="0.249977111117893"/>
      </top>
      <bottom style="thin">
        <color theme="1" tint="0.249977111117893"/>
      </bottom>
      <diagonal/>
    </border>
    <border>
      <left/>
      <right/>
      <top style="thin">
        <color theme="1" tint="0.249977111117893"/>
      </top>
      <bottom/>
      <diagonal/>
    </border>
    <border>
      <left/>
      <right/>
      <top/>
      <bottom style="thin">
        <color theme="1" tint="0.249977111117893"/>
      </bottom>
      <diagonal/>
    </border>
    <border>
      <left/>
      <right/>
      <top style="thin">
        <color theme="1" tint="0.249977111117893"/>
      </top>
      <bottom style="thin">
        <color theme="1" tint="0.249977111117893"/>
      </bottom>
      <diagonal/>
    </border>
  </borders>
  <cellStyleXfs count="1">
    <xf numFmtId="0" fontId="0" fillId="0" borderId="0"/>
  </cellStyleXfs>
  <cellXfs count="50">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0" fillId="0" borderId="0" xfId="0" applyAlignment="1">
      <alignment wrapText="1"/>
    </xf>
    <xf numFmtId="0" fontId="0" fillId="0" borderId="0" xfId="0" applyAlignment="1">
      <alignment vertical="center" wrapText="1"/>
    </xf>
    <xf numFmtId="0" fontId="11" fillId="4" borderId="2" xfId="0" applyFont="1" applyFill="1" applyBorder="1" applyAlignment="1">
      <alignment wrapText="1"/>
    </xf>
    <xf numFmtId="0" fontId="11" fillId="4" borderId="2" xfId="0" applyFont="1" applyFill="1" applyBorder="1" applyAlignment="1">
      <alignment horizontal="left" vertical="center" wrapText="1"/>
    </xf>
    <xf numFmtId="0" fontId="10" fillId="4" borderId="2" xfId="0" applyFont="1" applyFill="1" applyBorder="1" applyAlignment="1">
      <alignment vertical="center" wrapText="1"/>
    </xf>
    <xf numFmtId="0" fontId="0" fillId="4" borderId="0" xfId="0" applyFill="1" applyAlignment="1">
      <alignment vertical="center"/>
    </xf>
    <xf numFmtId="0" fontId="3" fillId="2" borderId="1" xfId="0" applyFont="1" applyFill="1" applyBorder="1" applyAlignment="1">
      <alignment horizontal="left" vertical="center" wrapText="1"/>
    </xf>
    <xf numFmtId="0" fontId="0" fillId="0" borderId="0" xfId="0" applyAlignment="1">
      <alignment horizontal="left" vertical="center" wrapText="1"/>
    </xf>
    <xf numFmtId="0" fontId="8" fillId="2" borderId="0" xfId="0" applyFont="1" applyFill="1" applyAlignment="1">
      <alignment horizontal="left" vertical="center" wrapText="1"/>
    </xf>
    <xf numFmtId="0" fontId="0" fillId="2" borderId="0" xfId="0" applyFill="1" applyAlignment="1">
      <alignment horizontal="left" vertical="center" wrapText="1"/>
    </xf>
    <xf numFmtId="0" fontId="9" fillId="3" borderId="1" xfId="0" applyFont="1" applyFill="1" applyBorder="1" applyAlignment="1">
      <alignment horizontal="left"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12" fillId="0" borderId="0" xfId="0" applyFont="1" applyAlignment="1">
      <alignment horizontal="left" vertical="center" wrapText="1"/>
    </xf>
    <xf numFmtId="0" fontId="4" fillId="4" borderId="4" xfId="0" applyFont="1" applyFill="1" applyBorder="1" applyAlignment="1">
      <alignment horizontal="left" vertical="center" wrapText="1"/>
    </xf>
    <xf numFmtId="0" fontId="4" fillId="0" borderId="4" xfId="0" applyFont="1" applyBorder="1" applyAlignment="1">
      <alignment horizontal="left" vertical="center" wrapText="1"/>
    </xf>
    <xf numFmtId="0" fontId="3" fillId="2" borderId="3" xfId="0" applyFont="1" applyFill="1" applyBorder="1" applyAlignment="1">
      <alignment horizontal="left" vertical="center" wrapText="1"/>
    </xf>
    <xf numFmtId="0" fontId="4" fillId="4" borderId="5" xfId="0" applyFont="1" applyFill="1" applyBorder="1" applyAlignment="1">
      <alignment horizontal="center" vertical="center" wrapText="1"/>
    </xf>
    <xf numFmtId="0" fontId="5" fillId="4" borderId="5" xfId="0" applyFont="1" applyFill="1" applyBorder="1" applyAlignment="1">
      <alignment horizontal="left" vertical="center" wrapText="1"/>
    </xf>
    <xf numFmtId="0" fontId="4" fillId="4" borderId="5" xfId="0" applyFont="1" applyFill="1" applyBorder="1" applyAlignment="1">
      <alignment horizontal="left" vertical="center" wrapText="1"/>
    </xf>
    <xf numFmtId="0" fontId="6" fillId="0" borderId="5" xfId="0" applyFont="1" applyBorder="1" applyAlignment="1">
      <alignment horizontal="left" vertical="center" wrapText="1"/>
    </xf>
    <xf numFmtId="0" fontId="7" fillId="0" borderId="5" xfId="0" applyFont="1" applyBorder="1" applyAlignment="1">
      <alignment horizontal="left" vertical="center" wrapText="1"/>
    </xf>
    <xf numFmtId="0" fontId="4" fillId="0" borderId="5" xfId="0" applyFont="1" applyBorder="1" applyAlignment="1">
      <alignment horizontal="center" vertical="center" wrapText="1"/>
    </xf>
    <xf numFmtId="0" fontId="5" fillId="0" borderId="5" xfId="0" applyFont="1" applyBorder="1" applyAlignment="1">
      <alignment horizontal="left" vertical="center" wrapText="1"/>
    </xf>
    <xf numFmtId="0" fontId="4" fillId="0" borderId="5" xfId="0" applyFont="1" applyBorder="1" applyAlignment="1">
      <alignment horizontal="left" vertical="center" wrapText="1"/>
    </xf>
    <xf numFmtId="0" fontId="0" fillId="0" borderId="5" xfId="0" applyBorder="1" applyAlignment="1">
      <alignment horizontal="center" vertical="center" wrapText="1"/>
    </xf>
    <xf numFmtId="0" fontId="12" fillId="0" borderId="5" xfId="0" applyFont="1" applyBorder="1" applyAlignment="1">
      <alignment horizontal="left" vertical="center" wrapText="1"/>
    </xf>
    <xf numFmtId="0" fontId="0" fillId="0" borderId="5" xfId="0" applyBorder="1" applyAlignment="1">
      <alignment horizontal="left" vertical="center" wrapText="1"/>
    </xf>
    <xf numFmtId="0" fontId="0" fillId="0" borderId="8" xfId="0" applyBorder="1" applyAlignment="1">
      <alignment horizontal="center"/>
    </xf>
    <xf numFmtId="0" fontId="0" fillId="0" borderId="6" xfId="0" applyBorder="1" applyAlignment="1">
      <alignment horizontal="center"/>
    </xf>
    <xf numFmtId="0" fontId="0" fillId="0" borderId="7" xfId="0" applyBorder="1"/>
    <xf numFmtId="0" fontId="0" fillId="0" borderId="8" xfId="0" applyBorder="1"/>
    <xf numFmtId="0" fontId="0" fillId="0" borderId="6" xfId="0" applyBorder="1"/>
    <xf numFmtId="0" fontId="13" fillId="5" borderId="7" xfId="0" applyFont="1" applyFill="1" applyBorder="1" applyAlignment="1">
      <alignment horizontal="left"/>
    </xf>
    <xf numFmtId="0" fontId="13" fillId="5" borderId="0" xfId="0" applyFont="1" applyFill="1" applyBorder="1" applyAlignment="1">
      <alignment horizontal="left"/>
    </xf>
    <xf numFmtId="0" fontId="0" fillId="0" borderId="7" xfId="0" applyBorder="1" applyAlignment="1">
      <alignment vertical="center"/>
    </xf>
    <xf numFmtId="0" fontId="0" fillId="0" borderId="8" xfId="0" applyBorder="1" applyAlignment="1">
      <alignment vertical="center"/>
    </xf>
    <xf numFmtId="0" fontId="0" fillId="0" borderId="6" xfId="0" applyBorder="1" applyAlignment="1">
      <alignment vertical="center"/>
    </xf>
    <xf numFmtId="0" fontId="0" fillId="0" borderId="7" xfId="0" applyBorder="1" applyAlignment="1">
      <alignment horizontal="left"/>
    </xf>
    <xf numFmtId="0" fontId="0" fillId="0" borderId="8" xfId="0" applyBorder="1" applyAlignment="1">
      <alignment horizontal="left"/>
    </xf>
    <xf numFmtId="0" fontId="0" fillId="0" borderId="6" xfId="0" applyBorder="1" applyAlignment="1">
      <alignment horizontal="left"/>
    </xf>
  </cellXfs>
  <cellStyles count="1">
    <cellStyle name="Normale" xfId="0" builtinId="0"/>
  </cellStyles>
  <dxfs count="28">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72"/>
  <sheetViews>
    <sheetView tabSelected="1" workbookViewId="0">
      <pane ySplit="4" topLeftCell="A24" activePane="bottomLeft" state="frozen"/>
      <selection pane="bottomLeft" activeCell="C4" sqref="C4"/>
    </sheetView>
  </sheetViews>
  <sheetFormatPr defaultRowHeight="15"/>
  <cols>
    <col min="1" max="1" width="9.7109375" style="19" bestFit="1" customWidth="1"/>
    <col min="2" max="2" width="6.28515625" style="15" bestFit="1" customWidth="1"/>
    <col min="3" max="4" width="8.85546875" style="19" bestFit="1" customWidth="1"/>
    <col min="5" max="5" width="16.85546875" style="22" bestFit="1" customWidth="1"/>
    <col min="6" max="6" width="77.5703125" style="15" bestFit="1" customWidth="1"/>
    <col min="7" max="7" width="97.5703125" style="15" bestFit="1" customWidth="1"/>
    <col min="8" max="8" width="11.7109375" style="19" bestFit="1" customWidth="1"/>
    <col min="9" max="9" width="8.28515625" style="15" bestFit="1" customWidth="1"/>
    <col min="10" max="10" width="15.5703125" style="15" bestFit="1" customWidth="1"/>
    <col min="11" max="11" width="3" style="15" customWidth="1"/>
    <col min="12" max="12" width="32.85546875" style="15" bestFit="1" customWidth="1"/>
    <col min="13" max="13" width="6" style="15" bestFit="1" customWidth="1"/>
    <col min="14" max="16384" width="9.140625" style="15"/>
  </cols>
  <sheetData>
    <row r="1" spans="1:13" ht="21">
      <c r="A1" s="20"/>
    </row>
    <row r="2" spans="1:13">
      <c r="A2" s="21"/>
    </row>
    <row r="4" spans="1:13" ht="32.25">
      <c r="A4" s="14" t="s">
        <v>0</v>
      </c>
      <c r="B4" s="14" t="s">
        <v>1</v>
      </c>
      <c r="C4" s="25" t="s">
        <v>2</v>
      </c>
      <c r="D4" s="25" t="s">
        <v>3</v>
      </c>
      <c r="E4" s="25" t="s">
        <v>4</v>
      </c>
      <c r="F4" s="25" t="s">
        <v>5</v>
      </c>
      <c r="G4" s="25" t="s">
        <v>6</v>
      </c>
      <c r="H4" s="25" t="s">
        <v>7</v>
      </c>
      <c r="I4" s="25" t="s">
        <v>8</v>
      </c>
      <c r="J4" s="25" t="s">
        <v>9</v>
      </c>
      <c r="L4" s="16" t="s">
        <v>10</v>
      </c>
      <c r="M4" s="17"/>
    </row>
    <row r="5" spans="1:13" ht="60.75">
      <c r="A5" s="5">
        <v>1</v>
      </c>
      <c r="B5" s="23" t="s">
        <v>11</v>
      </c>
      <c r="C5" s="26" t="s">
        <v>12</v>
      </c>
      <c r="D5" s="26" t="s">
        <v>13</v>
      </c>
      <c r="E5" s="27" t="s">
        <v>14</v>
      </c>
      <c r="F5" s="28" t="s">
        <v>15</v>
      </c>
      <c r="G5" s="28" t="s">
        <v>16</v>
      </c>
      <c r="H5" s="26" t="s">
        <v>17</v>
      </c>
      <c r="I5" s="29"/>
      <c r="J5" s="30"/>
      <c r="L5" s="4" t="s">
        <v>18</v>
      </c>
      <c r="M5" s="18"/>
    </row>
    <row r="6" spans="1:13" ht="60.75">
      <c r="A6" s="5">
        <v>2</v>
      </c>
      <c r="B6" s="23" t="s">
        <v>19</v>
      </c>
      <c r="C6" s="26" t="s">
        <v>12</v>
      </c>
      <c r="D6" s="26" t="s">
        <v>13</v>
      </c>
      <c r="E6" s="27" t="s">
        <v>20</v>
      </c>
      <c r="F6" s="28" t="s">
        <v>21</v>
      </c>
      <c r="G6" s="28" t="s">
        <v>22</v>
      </c>
      <c r="H6" s="26" t="s">
        <v>23</v>
      </c>
      <c r="I6" s="29"/>
      <c r="J6" s="30"/>
      <c r="L6" s="4" t="s">
        <v>24</v>
      </c>
      <c r="M6" s="4">
        <f>SUMIF(J5:J72,"x",I5:I72)+SUMIF(Spezzamenti!E4:E40,"x",Spezzamenti!D4:D40)</f>
        <v>0</v>
      </c>
    </row>
    <row r="7" spans="1:13" ht="60.75">
      <c r="A7" s="2">
        <v>3</v>
      </c>
      <c r="B7" s="24" t="s">
        <v>25</v>
      </c>
      <c r="C7" s="31" t="s">
        <v>12</v>
      </c>
      <c r="D7" s="31" t="s">
        <v>26</v>
      </c>
      <c r="E7" s="32" t="s">
        <v>27</v>
      </c>
      <c r="F7" s="33" t="s">
        <v>28</v>
      </c>
      <c r="G7" s="33" t="s">
        <v>29</v>
      </c>
      <c r="H7" s="26" t="s">
        <v>23</v>
      </c>
      <c r="I7" s="29"/>
      <c r="J7" s="30"/>
      <c r="L7" s="4" t="s">
        <v>30</v>
      </c>
      <c r="M7" s="4" t="str">
        <f>IF(M5="","–",M5-M6)</f>
        <v>–</v>
      </c>
    </row>
    <row r="8" spans="1:13" ht="76.5">
      <c r="A8" s="2">
        <v>4</v>
      </c>
      <c r="B8" s="24" t="s">
        <v>31</v>
      </c>
      <c r="C8" s="31" t="s">
        <v>12</v>
      </c>
      <c r="D8" s="31" t="s">
        <v>26</v>
      </c>
      <c r="E8" s="32" t="s">
        <v>32</v>
      </c>
      <c r="F8" s="33" t="s">
        <v>33</v>
      </c>
      <c r="G8" s="33" t="s">
        <v>34</v>
      </c>
      <c r="H8" s="26" t="s">
        <v>17</v>
      </c>
      <c r="I8" s="29"/>
      <c r="J8" s="30"/>
      <c r="L8" s="4" t="s">
        <v>35</v>
      </c>
      <c r="M8" s="4" t="str">
        <f>COUNT(I5:I72)&amp;" / 68"</f>
        <v>0 / 68</v>
      </c>
    </row>
    <row r="9" spans="1:13" ht="60.75">
      <c r="A9" s="2">
        <v>5</v>
      </c>
      <c r="B9" s="24" t="s">
        <v>36</v>
      </c>
      <c r="C9" s="31" t="s">
        <v>12</v>
      </c>
      <c r="D9" s="31" t="s">
        <v>37</v>
      </c>
      <c r="E9" s="32" t="s">
        <v>38</v>
      </c>
      <c r="F9" s="33" t="s">
        <v>39</v>
      </c>
      <c r="G9" s="33" t="s">
        <v>40</v>
      </c>
      <c r="H9" s="26" t="s">
        <v>23</v>
      </c>
      <c r="I9" s="29"/>
      <c r="J9" s="30"/>
      <c r="L9" s="4" t="s">
        <v>41</v>
      </c>
      <c r="M9" s="4">
        <f>COUNTIF(I5:I72,"spezzare")</f>
        <v>0</v>
      </c>
    </row>
    <row r="10" spans="1:13" ht="60.75">
      <c r="A10" s="2">
        <v>6</v>
      </c>
      <c r="B10" s="24" t="s">
        <v>42</v>
      </c>
      <c r="C10" s="31" t="s">
        <v>12</v>
      </c>
      <c r="D10" s="31" t="s">
        <v>37</v>
      </c>
      <c r="E10" s="32" t="s">
        <v>43</v>
      </c>
      <c r="F10" s="33" t="s">
        <v>44</v>
      </c>
      <c r="G10" s="33" t="s">
        <v>45</v>
      </c>
      <c r="H10" s="26" t="s">
        <v>23</v>
      </c>
      <c r="I10" s="29"/>
      <c r="J10" s="30"/>
      <c r="L10" s="4" t="s">
        <v>46</v>
      </c>
      <c r="M10" s="4" t="str">
        <f>IF(OR(M5="",M6=0),"–",IF(M6&lt;=M5,"Nei limiti","SPRINT TROPPO CARICO"))</f>
        <v>–</v>
      </c>
    </row>
    <row r="11" spans="1:13" ht="121.5">
      <c r="A11" s="2">
        <v>7</v>
      </c>
      <c r="B11" s="24" t="s">
        <v>47</v>
      </c>
      <c r="C11" s="31" t="s">
        <v>12</v>
      </c>
      <c r="D11" s="31" t="s">
        <v>37</v>
      </c>
      <c r="E11" s="32" t="s">
        <v>48</v>
      </c>
      <c r="F11" s="33" t="s">
        <v>49</v>
      </c>
      <c r="G11" s="33" t="s">
        <v>50</v>
      </c>
      <c r="H11" s="26" t="s">
        <v>17</v>
      </c>
      <c r="I11" s="29"/>
      <c r="J11" s="30"/>
    </row>
    <row r="12" spans="1:13" ht="30.75">
      <c r="A12" s="2">
        <v>8</v>
      </c>
      <c r="B12" s="24" t="s">
        <v>51</v>
      </c>
      <c r="C12" s="31" t="s">
        <v>52</v>
      </c>
      <c r="D12" s="31" t="s">
        <v>53</v>
      </c>
      <c r="E12" s="32" t="s">
        <v>54</v>
      </c>
      <c r="F12" s="33" t="s">
        <v>55</v>
      </c>
      <c r="G12" s="33" t="s">
        <v>56</v>
      </c>
      <c r="H12" s="26" t="s">
        <v>17</v>
      </c>
      <c r="I12" s="29"/>
      <c r="J12" s="30"/>
    </row>
    <row r="13" spans="1:13" ht="45.75">
      <c r="A13" s="2">
        <v>9</v>
      </c>
      <c r="B13" s="24" t="s">
        <v>57</v>
      </c>
      <c r="C13" s="31" t="s">
        <v>52</v>
      </c>
      <c r="D13" s="31" t="s">
        <v>58</v>
      </c>
      <c r="E13" s="32" t="s">
        <v>59</v>
      </c>
      <c r="F13" s="33" t="s">
        <v>60</v>
      </c>
      <c r="G13" s="33" t="s">
        <v>61</v>
      </c>
      <c r="H13" s="26" t="s">
        <v>17</v>
      </c>
      <c r="I13" s="29"/>
      <c r="J13" s="30"/>
    </row>
    <row r="14" spans="1:13" ht="60.75">
      <c r="A14" s="2">
        <v>10</v>
      </c>
      <c r="B14" s="24" t="s">
        <v>62</v>
      </c>
      <c r="C14" s="31" t="s">
        <v>52</v>
      </c>
      <c r="D14" s="31" t="s">
        <v>63</v>
      </c>
      <c r="E14" s="32" t="s">
        <v>64</v>
      </c>
      <c r="F14" s="33" t="s">
        <v>65</v>
      </c>
      <c r="G14" s="33" t="s">
        <v>66</v>
      </c>
      <c r="H14" s="26" t="s">
        <v>17</v>
      </c>
      <c r="I14" s="29"/>
      <c r="J14" s="30"/>
    </row>
    <row r="15" spans="1:13" ht="30.75">
      <c r="A15" s="2">
        <v>11</v>
      </c>
      <c r="B15" s="24" t="s">
        <v>67</v>
      </c>
      <c r="C15" s="31" t="s">
        <v>52</v>
      </c>
      <c r="D15" s="31" t="s">
        <v>58</v>
      </c>
      <c r="E15" s="32" t="s">
        <v>68</v>
      </c>
      <c r="F15" s="33" t="s">
        <v>69</v>
      </c>
      <c r="G15" s="33"/>
      <c r="H15" s="26" t="s">
        <v>23</v>
      </c>
      <c r="I15" s="29"/>
      <c r="J15" s="30"/>
    </row>
    <row r="16" spans="1:13" ht="60.75">
      <c r="A16" s="2">
        <v>12</v>
      </c>
      <c r="B16" s="24" t="s">
        <v>70</v>
      </c>
      <c r="C16" s="31" t="s">
        <v>52</v>
      </c>
      <c r="D16" s="31" t="s">
        <v>63</v>
      </c>
      <c r="E16" s="32" t="s">
        <v>71</v>
      </c>
      <c r="F16" s="33" t="s">
        <v>72</v>
      </c>
      <c r="G16" s="33" t="s">
        <v>73</v>
      </c>
      <c r="H16" s="26" t="s">
        <v>23</v>
      </c>
      <c r="I16" s="29"/>
      <c r="J16" s="30"/>
    </row>
    <row r="17" spans="1:10" ht="60.75">
      <c r="A17" s="2">
        <v>13</v>
      </c>
      <c r="B17" s="24" t="s">
        <v>74</v>
      </c>
      <c r="C17" s="31" t="s">
        <v>75</v>
      </c>
      <c r="D17" s="31" t="s">
        <v>76</v>
      </c>
      <c r="E17" s="32" t="s">
        <v>77</v>
      </c>
      <c r="F17" s="33" t="s">
        <v>78</v>
      </c>
      <c r="G17" s="33" t="s">
        <v>79</v>
      </c>
      <c r="H17" s="26" t="s">
        <v>17</v>
      </c>
      <c r="I17" s="29"/>
      <c r="J17" s="30"/>
    </row>
    <row r="18" spans="1:10" ht="45.75">
      <c r="A18" s="2">
        <v>14</v>
      </c>
      <c r="B18" s="24" t="s">
        <v>80</v>
      </c>
      <c r="C18" s="31" t="s">
        <v>81</v>
      </c>
      <c r="D18" s="31" t="s">
        <v>82</v>
      </c>
      <c r="E18" s="32" t="s">
        <v>83</v>
      </c>
      <c r="F18" s="33" t="s">
        <v>84</v>
      </c>
      <c r="G18" s="33" t="s">
        <v>85</v>
      </c>
      <c r="H18" s="26" t="s">
        <v>23</v>
      </c>
      <c r="I18" s="29"/>
      <c r="J18" s="30"/>
    </row>
    <row r="19" spans="1:10" ht="60.75">
      <c r="A19" s="2">
        <v>15</v>
      </c>
      <c r="B19" s="24" t="s">
        <v>86</v>
      </c>
      <c r="C19" s="31" t="s">
        <v>81</v>
      </c>
      <c r="D19" s="31" t="s">
        <v>82</v>
      </c>
      <c r="E19" s="32" t="s">
        <v>87</v>
      </c>
      <c r="F19" s="33" t="s">
        <v>88</v>
      </c>
      <c r="G19" s="33"/>
      <c r="H19" s="26" t="s">
        <v>17</v>
      </c>
      <c r="I19" s="29"/>
      <c r="J19" s="30"/>
    </row>
    <row r="20" spans="1:10" ht="60.75">
      <c r="A20" s="2">
        <v>16</v>
      </c>
      <c r="B20" s="24" t="s">
        <v>89</v>
      </c>
      <c r="C20" s="31" t="s">
        <v>75</v>
      </c>
      <c r="D20" s="31" t="s">
        <v>76</v>
      </c>
      <c r="E20" s="32" t="s">
        <v>90</v>
      </c>
      <c r="F20" s="33" t="s">
        <v>91</v>
      </c>
      <c r="G20" s="33" t="s">
        <v>92</v>
      </c>
      <c r="H20" s="26" t="s">
        <v>17</v>
      </c>
      <c r="I20" s="29"/>
      <c r="J20" s="30"/>
    </row>
    <row r="21" spans="1:10" ht="45.75">
      <c r="A21" s="2">
        <v>17</v>
      </c>
      <c r="B21" s="24" t="s">
        <v>93</v>
      </c>
      <c r="C21" s="31" t="s">
        <v>75</v>
      </c>
      <c r="D21" s="31" t="s">
        <v>76</v>
      </c>
      <c r="E21" s="32" t="s">
        <v>94</v>
      </c>
      <c r="F21" s="33" t="s">
        <v>95</v>
      </c>
      <c r="G21" s="33" t="s">
        <v>96</v>
      </c>
      <c r="H21" s="26" t="s">
        <v>23</v>
      </c>
      <c r="I21" s="29"/>
      <c r="J21" s="30"/>
    </row>
    <row r="22" spans="1:10" ht="45.75">
      <c r="A22" s="2">
        <v>18</v>
      </c>
      <c r="B22" s="24" t="s">
        <v>97</v>
      </c>
      <c r="C22" s="31" t="s">
        <v>52</v>
      </c>
      <c r="D22" s="31" t="s">
        <v>98</v>
      </c>
      <c r="E22" s="32" t="s">
        <v>99</v>
      </c>
      <c r="F22" s="33" t="s">
        <v>100</v>
      </c>
      <c r="G22" s="33" t="s">
        <v>101</v>
      </c>
      <c r="H22" s="26" t="s">
        <v>17</v>
      </c>
      <c r="I22" s="29"/>
      <c r="J22" s="30"/>
    </row>
    <row r="23" spans="1:10" ht="121.5">
      <c r="A23" s="2">
        <v>19</v>
      </c>
      <c r="B23" s="24" t="s">
        <v>102</v>
      </c>
      <c r="C23" s="31" t="s">
        <v>75</v>
      </c>
      <c r="D23" s="31" t="s">
        <v>103</v>
      </c>
      <c r="E23" s="32" t="s">
        <v>104</v>
      </c>
      <c r="F23" s="33" t="s">
        <v>105</v>
      </c>
      <c r="G23" s="33" t="s">
        <v>106</v>
      </c>
      <c r="H23" s="26" t="s">
        <v>17</v>
      </c>
      <c r="I23" s="29"/>
      <c r="J23" s="30"/>
    </row>
    <row r="24" spans="1:10" ht="76.5">
      <c r="A24" s="2">
        <v>20</v>
      </c>
      <c r="B24" s="24" t="s">
        <v>107</v>
      </c>
      <c r="C24" s="31" t="s">
        <v>75</v>
      </c>
      <c r="D24" s="31" t="s">
        <v>103</v>
      </c>
      <c r="E24" s="32" t="s">
        <v>108</v>
      </c>
      <c r="F24" s="33" t="s">
        <v>109</v>
      </c>
      <c r="G24" s="33" t="s">
        <v>110</v>
      </c>
      <c r="H24" s="26" t="s">
        <v>17</v>
      </c>
      <c r="I24" s="29"/>
      <c r="J24" s="30"/>
    </row>
    <row r="25" spans="1:10" ht="60.75">
      <c r="A25" s="2">
        <v>21</v>
      </c>
      <c r="B25" s="24" t="s">
        <v>111</v>
      </c>
      <c r="C25" s="31" t="s">
        <v>75</v>
      </c>
      <c r="D25" s="31" t="s">
        <v>103</v>
      </c>
      <c r="E25" s="32" t="s">
        <v>112</v>
      </c>
      <c r="F25" s="33" t="s">
        <v>113</v>
      </c>
      <c r="G25" s="33" t="s">
        <v>114</v>
      </c>
      <c r="H25" s="26" t="s">
        <v>17</v>
      </c>
      <c r="I25" s="29"/>
      <c r="J25" s="30"/>
    </row>
    <row r="26" spans="1:10" ht="30.75">
      <c r="A26" s="2">
        <v>22</v>
      </c>
      <c r="B26" s="24" t="s">
        <v>115</v>
      </c>
      <c r="C26" s="31" t="s">
        <v>75</v>
      </c>
      <c r="D26" s="31" t="s">
        <v>103</v>
      </c>
      <c r="E26" s="32" t="s">
        <v>116</v>
      </c>
      <c r="F26" s="33" t="s">
        <v>117</v>
      </c>
      <c r="G26" s="33"/>
      <c r="H26" s="26" t="s">
        <v>23</v>
      </c>
      <c r="I26" s="29"/>
      <c r="J26" s="30"/>
    </row>
    <row r="27" spans="1:10" ht="30.75">
      <c r="A27" s="2">
        <v>23</v>
      </c>
      <c r="B27" s="24" t="s">
        <v>118</v>
      </c>
      <c r="C27" s="31" t="s">
        <v>75</v>
      </c>
      <c r="D27" s="31" t="s">
        <v>103</v>
      </c>
      <c r="E27" s="32" t="s">
        <v>119</v>
      </c>
      <c r="F27" s="33" t="s">
        <v>120</v>
      </c>
      <c r="G27" s="33"/>
      <c r="H27" s="26" t="s">
        <v>17</v>
      </c>
      <c r="I27" s="29"/>
      <c r="J27" s="30"/>
    </row>
    <row r="28" spans="1:10" ht="60.75">
      <c r="A28" s="2">
        <v>24</v>
      </c>
      <c r="B28" s="24" t="s">
        <v>121</v>
      </c>
      <c r="C28" s="31" t="s">
        <v>52</v>
      </c>
      <c r="D28" s="31" t="s">
        <v>98</v>
      </c>
      <c r="E28" s="32" t="s">
        <v>122</v>
      </c>
      <c r="F28" s="33" t="s">
        <v>123</v>
      </c>
      <c r="G28" s="33" t="s">
        <v>124</v>
      </c>
      <c r="H28" s="26" t="s">
        <v>23</v>
      </c>
      <c r="I28" s="29"/>
      <c r="J28" s="30"/>
    </row>
    <row r="29" spans="1:10" ht="45.75">
      <c r="A29" s="2">
        <v>25</v>
      </c>
      <c r="B29" s="24" t="s">
        <v>125</v>
      </c>
      <c r="C29" s="31" t="s">
        <v>81</v>
      </c>
      <c r="D29" s="31" t="s">
        <v>126</v>
      </c>
      <c r="E29" s="32" t="s">
        <v>127</v>
      </c>
      <c r="F29" s="33" t="s">
        <v>128</v>
      </c>
      <c r="G29" s="33" t="s">
        <v>129</v>
      </c>
      <c r="H29" s="26" t="s">
        <v>17</v>
      </c>
      <c r="I29" s="29"/>
      <c r="J29" s="30"/>
    </row>
    <row r="30" spans="1:10" ht="76.5">
      <c r="A30" s="2">
        <v>26</v>
      </c>
      <c r="B30" s="24" t="s">
        <v>130</v>
      </c>
      <c r="C30" s="31" t="s">
        <v>81</v>
      </c>
      <c r="D30" s="31" t="s">
        <v>126</v>
      </c>
      <c r="E30" s="32" t="s">
        <v>131</v>
      </c>
      <c r="F30" s="33" t="s">
        <v>132</v>
      </c>
      <c r="G30" s="33" t="s">
        <v>133</v>
      </c>
      <c r="H30" s="26" t="s">
        <v>23</v>
      </c>
      <c r="I30" s="29"/>
      <c r="J30" s="30"/>
    </row>
    <row r="31" spans="1:10" ht="30.75">
      <c r="A31" s="19">
        <v>27</v>
      </c>
      <c r="B31" s="15" t="s">
        <v>134</v>
      </c>
      <c r="C31" s="34" t="s">
        <v>81</v>
      </c>
      <c r="D31" s="34" t="s">
        <v>135</v>
      </c>
      <c r="E31" s="35" t="s">
        <v>136</v>
      </c>
      <c r="F31" s="36" t="s">
        <v>137</v>
      </c>
      <c r="G31" s="36" t="s">
        <v>138</v>
      </c>
      <c r="H31" s="34" t="s">
        <v>17</v>
      </c>
      <c r="I31" s="36"/>
      <c r="J31" s="36"/>
    </row>
    <row r="32" spans="1:10" ht="56.25" customHeight="1">
      <c r="A32" s="19">
        <v>28</v>
      </c>
      <c r="B32" s="15" t="s">
        <v>139</v>
      </c>
      <c r="C32" s="34" t="s">
        <v>81</v>
      </c>
      <c r="D32" s="34" t="s">
        <v>135</v>
      </c>
      <c r="E32" s="35" t="s">
        <v>140</v>
      </c>
      <c r="F32" s="36" t="s">
        <v>141</v>
      </c>
      <c r="G32" s="36" t="s">
        <v>142</v>
      </c>
      <c r="H32" s="34" t="s">
        <v>23</v>
      </c>
      <c r="I32" s="36"/>
      <c r="J32" s="36"/>
    </row>
    <row r="33" spans="1:10" ht="45.75">
      <c r="A33" s="19">
        <v>29</v>
      </c>
      <c r="B33" s="15" t="s">
        <v>143</v>
      </c>
      <c r="C33" s="34" t="s">
        <v>81</v>
      </c>
      <c r="D33" s="34" t="s">
        <v>135</v>
      </c>
      <c r="E33" s="35" t="s">
        <v>144</v>
      </c>
      <c r="F33" s="36" t="s">
        <v>145</v>
      </c>
      <c r="G33" s="36"/>
      <c r="H33" s="34" t="s">
        <v>23</v>
      </c>
      <c r="I33" s="36"/>
      <c r="J33" s="36"/>
    </row>
    <row r="34" spans="1:10" ht="60.75">
      <c r="A34" s="19">
        <v>30</v>
      </c>
      <c r="B34" s="15" t="s">
        <v>146</v>
      </c>
      <c r="C34" s="34" t="s">
        <v>52</v>
      </c>
      <c r="D34" s="34" t="s">
        <v>98</v>
      </c>
      <c r="E34" s="35" t="s">
        <v>147</v>
      </c>
      <c r="F34" s="36" t="s">
        <v>148</v>
      </c>
      <c r="G34" s="36" t="s">
        <v>149</v>
      </c>
      <c r="H34" s="34" t="s">
        <v>17</v>
      </c>
      <c r="I34" s="36"/>
      <c r="J34" s="36"/>
    </row>
    <row r="35" spans="1:10" ht="45.75">
      <c r="A35" s="19">
        <v>31</v>
      </c>
      <c r="B35" s="15" t="s">
        <v>150</v>
      </c>
      <c r="C35" s="34" t="s">
        <v>81</v>
      </c>
      <c r="D35" s="34" t="s">
        <v>135</v>
      </c>
      <c r="E35" s="35" t="s">
        <v>151</v>
      </c>
      <c r="F35" s="36" t="s">
        <v>152</v>
      </c>
      <c r="G35" s="36" t="s">
        <v>153</v>
      </c>
      <c r="H35" s="34" t="s">
        <v>17</v>
      </c>
      <c r="I35" s="36"/>
      <c r="J35" s="36"/>
    </row>
    <row r="36" spans="1:10" ht="45.75">
      <c r="A36" s="19">
        <v>32</v>
      </c>
      <c r="B36" s="15" t="s">
        <v>154</v>
      </c>
      <c r="C36" s="34" t="s">
        <v>81</v>
      </c>
      <c r="D36" s="34" t="s">
        <v>135</v>
      </c>
      <c r="E36" s="35" t="s">
        <v>155</v>
      </c>
      <c r="F36" s="36" t="s">
        <v>156</v>
      </c>
      <c r="G36" s="36"/>
      <c r="H36" s="34" t="s">
        <v>17</v>
      </c>
      <c r="I36" s="36"/>
      <c r="J36" s="36"/>
    </row>
    <row r="37" spans="1:10" ht="60.75">
      <c r="A37" s="19">
        <v>33</v>
      </c>
      <c r="B37" s="15" t="s">
        <v>157</v>
      </c>
      <c r="C37" s="34" t="s">
        <v>52</v>
      </c>
      <c r="D37" s="34" t="s">
        <v>98</v>
      </c>
      <c r="E37" s="35" t="s">
        <v>158</v>
      </c>
      <c r="F37" s="36" t="s">
        <v>159</v>
      </c>
      <c r="G37" s="36"/>
      <c r="H37" s="34" t="s">
        <v>23</v>
      </c>
      <c r="I37" s="36"/>
      <c r="J37" s="36"/>
    </row>
    <row r="38" spans="1:10" ht="60.75">
      <c r="A38" s="19">
        <v>34</v>
      </c>
      <c r="B38" s="15" t="s">
        <v>160</v>
      </c>
      <c r="C38" s="34" t="s">
        <v>75</v>
      </c>
      <c r="D38" s="34" t="s">
        <v>161</v>
      </c>
      <c r="E38" s="35" t="s">
        <v>162</v>
      </c>
      <c r="F38" s="36" t="s">
        <v>163</v>
      </c>
      <c r="G38" s="36" t="s">
        <v>164</v>
      </c>
      <c r="H38" s="34" t="s">
        <v>23</v>
      </c>
      <c r="I38" s="36"/>
      <c r="J38" s="36"/>
    </row>
    <row r="39" spans="1:10" ht="30.75">
      <c r="A39" s="19">
        <v>35</v>
      </c>
      <c r="B39" s="15" t="s">
        <v>165</v>
      </c>
      <c r="C39" s="34" t="s">
        <v>75</v>
      </c>
      <c r="D39" s="34" t="s">
        <v>166</v>
      </c>
      <c r="E39" s="35" t="s">
        <v>167</v>
      </c>
      <c r="F39" s="36" t="s">
        <v>168</v>
      </c>
      <c r="G39" s="36" t="s">
        <v>169</v>
      </c>
      <c r="H39" s="34" t="s">
        <v>23</v>
      </c>
      <c r="I39" s="36"/>
      <c r="J39" s="36"/>
    </row>
    <row r="40" spans="1:10" ht="45.75">
      <c r="A40" s="19">
        <v>36</v>
      </c>
      <c r="B40" s="15" t="s">
        <v>170</v>
      </c>
      <c r="C40" s="34" t="s">
        <v>75</v>
      </c>
      <c r="D40" s="34" t="s">
        <v>166</v>
      </c>
      <c r="E40" s="35" t="s">
        <v>171</v>
      </c>
      <c r="F40" s="36" t="s">
        <v>172</v>
      </c>
      <c r="G40" s="36" t="s">
        <v>173</v>
      </c>
      <c r="H40" s="34" t="s">
        <v>17</v>
      </c>
      <c r="I40" s="36"/>
      <c r="J40" s="36"/>
    </row>
    <row r="41" spans="1:10" ht="30.75">
      <c r="A41" s="19">
        <v>37</v>
      </c>
      <c r="B41" s="15" t="s">
        <v>174</v>
      </c>
      <c r="C41" s="34" t="s">
        <v>75</v>
      </c>
      <c r="D41" s="34" t="s">
        <v>166</v>
      </c>
      <c r="E41" s="35" t="s">
        <v>175</v>
      </c>
      <c r="F41" s="36" t="s">
        <v>176</v>
      </c>
      <c r="G41" s="36"/>
      <c r="H41" s="34" t="s">
        <v>23</v>
      </c>
      <c r="I41" s="36"/>
      <c r="J41" s="36"/>
    </row>
    <row r="42" spans="1:10" ht="45.75">
      <c r="A42" s="19">
        <v>38</v>
      </c>
      <c r="B42" s="15" t="s">
        <v>177</v>
      </c>
      <c r="C42" s="34" t="s">
        <v>81</v>
      </c>
      <c r="D42" s="34" t="s">
        <v>178</v>
      </c>
      <c r="E42" s="35" t="s">
        <v>179</v>
      </c>
      <c r="F42" s="36" t="s">
        <v>180</v>
      </c>
      <c r="G42" s="36" t="s">
        <v>181</v>
      </c>
      <c r="H42" s="34" t="s">
        <v>23</v>
      </c>
      <c r="I42" s="36"/>
      <c r="J42" s="36"/>
    </row>
    <row r="43" spans="1:10" ht="30.75">
      <c r="A43" s="19">
        <v>39</v>
      </c>
      <c r="B43" s="15" t="s">
        <v>182</v>
      </c>
      <c r="C43" s="34" t="s">
        <v>75</v>
      </c>
      <c r="D43" s="34" t="s">
        <v>166</v>
      </c>
      <c r="E43" s="35" t="s">
        <v>183</v>
      </c>
      <c r="F43" s="36" t="s">
        <v>184</v>
      </c>
      <c r="G43" s="36" t="s">
        <v>185</v>
      </c>
      <c r="H43" s="34" t="s">
        <v>17</v>
      </c>
      <c r="I43" s="36"/>
      <c r="J43" s="36"/>
    </row>
    <row r="44" spans="1:10" ht="30.75">
      <c r="A44" s="19">
        <v>40</v>
      </c>
      <c r="B44" s="15" t="s">
        <v>186</v>
      </c>
      <c r="C44" s="34" t="s">
        <v>75</v>
      </c>
      <c r="D44" s="34" t="s">
        <v>166</v>
      </c>
      <c r="E44" s="35" t="s">
        <v>187</v>
      </c>
      <c r="F44" s="36" t="s">
        <v>188</v>
      </c>
      <c r="G44" s="36"/>
      <c r="H44" s="34" t="s">
        <v>23</v>
      </c>
      <c r="I44" s="36"/>
      <c r="J44" s="36"/>
    </row>
    <row r="45" spans="1:10" ht="60.75">
      <c r="A45" s="19">
        <v>41</v>
      </c>
      <c r="B45" s="15" t="s">
        <v>189</v>
      </c>
      <c r="C45" s="34" t="s">
        <v>75</v>
      </c>
      <c r="D45" s="34" t="s">
        <v>161</v>
      </c>
      <c r="E45" s="35" t="s">
        <v>190</v>
      </c>
      <c r="F45" s="36" t="s">
        <v>191</v>
      </c>
      <c r="G45" s="36" t="s">
        <v>192</v>
      </c>
      <c r="H45" s="34" t="s">
        <v>23</v>
      </c>
      <c r="I45" s="36"/>
      <c r="J45" s="36"/>
    </row>
    <row r="46" spans="1:10" ht="60.75">
      <c r="A46" s="19">
        <v>42</v>
      </c>
      <c r="B46" s="15" t="s">
        <v>193</v>
      </c>
      <c r="C46" s="34" t="s">
        <v>81</v>
      </c>
      <c r="D46" s="34" t="s">
        <v>194</v>
      </c>
      <c r="E46" s="35" t="s">
        <v>195</v>
      </c>
      <c r="F46" s="36" t="s">
        <v>196</v>
      </c>
      <c r="G46" s="36" t="s">
        <v>197</v>
      </c>
      <c r="H46" s="34" t="s">
        <v>17</v>
      </c>
      <c r="I46" s="36"/>
      <c r="J46" s="36"/>
    </row>
    <row r="47" spans="1:10" ht="30.75">
      <c r="A47" s="19">
        <v>43</v>
      </c>
      <c r="B47" s="15" t="s">
        <v>198</v>
      </c>
      <c r="C47" s="34" t="s">
        <v>52</v>
      </c>
      <c r="D47" s="34" t="s">
        <v>98</v>
      </c>
      <c r="E47" s="35" t="s">
        <v>199</v>
      </c>
      <c r="F47" s="36" t="s">
        <v>200</v>
      </c>
      <c r="G47" s="36"/>
      <c r="H47" s="34" t="s">
        <v>23</v>
      </c>
      <c r="I47" s="36"/>
      <c r="J47" s="36"/>
    </row>
    <row r="48" spans="1:10" ht="30.75">
      <c r="A48" s="19">
        <v>44</v>
      </c>
      <c r="B48" s="15" t="s">
        <v>201</v>
      </c>
      <c r="C48" s="34" t="s">
        <v>81</v>
      </c>
      <c r="D48" s="34" t="s">
        <v>82</v>
      </c>
      <c r="E48" s="35" t="s">
        <v>202</v>
      </c>
      <c r="F48" s="36" t="s">
        <v>203</v>
      </c>
      <c r="G48" s="36"/>
      <c r="H48" s="34" t="s">
        <v>204</v>
      </c>
      <c r="I48" s="36"/>
      <c r="J48" s="36"/>
    </row>
    <row r="49" spans="1:10" ht="45.75">
      <c r="A49" s="19">
        <v>45</v>
      </c>
      <c r="B49" s="15" t="s">
        <v>205</v>
      </c>
      <c r="C49" s="34" t="s">
        <v>81</v>
      </c>
      <c r="D49" s="34" t="s">
        <v>82</v>
      </c>
      <c r="E49" s="35" t="s">
        <v>206</v>
      </c>
      <c r="F49" s="36" t="s">
        <v>207</v>
      </c>
      <c r="G49" s="36"/>
      <c r="H49" s="34" t="s">
        <v>23</v>
      </c>
      <c r="I49" s="36"/>
      <c r="J49" s="36"/>
    </row>
    <row r="50" spans="1:10" ht="45.75">
      <c r="A50" s="19">
        <v>46</v>
      </c>
      <c r="B50" s="15" t="s">
        <v>208</v>
      </c>
      <c r="C50" s="34" t="s">
        <v>81</v>
      </c>
      <c r="D50" s="34" t="s">
        <v>194</v>
      </c>
      <c r="E50" s="35" t="s">
        <v>209</v>
      </c>
      <c r="F50" s="36" t="s">
        <v>210</v>
      </c>
      <c r="G50" s="36"/>
      <c r="H50" s="34" t="s">
        <v>23</v>
      </c>
      <c r="I50" s="36"/>
      <c r="J50" s="36"/>
    </row>
    <row r="51" spans="1:10" ht="60.75">
      <c r="A51" s="19">
        <v>47</v>
      </c>
      <c r="B51" s="15" t="s">
        <v>211</v>
      </c>
      <c r="C51" s="34" t="s">
        <v>81</v>
      </c>
      <c r="D51" s="34" t="s">
        <v>194</v>
      </c>
      <c r="E51" s="35" t="s">
        <v>212</v>
      </c>
      <c r="F51" s="36" t="s">
        <v>213</v>
      </c>
      <c r="G51" s="36"/>
      <c r="H51" s="34" t="s">
        <v>23</v>
      </c>
      <c r="I51" s="36"/>
      <c r="J51" s="36"/>
    </row>
    <row r="52" spans="1:10" ht="60.75">
      <c r="A52" s="19">
        <v>48</v>
      </c>
      <c r="B52" s="15" t="s">
        <v>214</v>
      </c>
      <c r="C52" s="34" t="s">
        <v>81</v>
      </c>
      <c r="D52" s="34" t="s">
        <v>194</v>
      </c>
      <c r="E52" s="35" t="s">
        <v>215</v>
      </c>
      <c r="F52" s="36" t="s">
        <v>216</v>
      </c>
      <c r="G52" s="36"/>
      <c r="H52" s="34" t="s">
        <v>204</v>
      </c>
      <c r="I52" s="36"/>
      <c r="J52" s="36"/>
    </row>
    <row r="53" spans="1:10" ht="45.75">
      <c r="A53" s="19">
        <v>49</v>
      </c>
      <c r="B53" s="15" t="s">
        <v>217</v>
      </c>
      <c r="C53" s="34" t="s">
        <v>81</v>
      </c>
      <c r="D53" s="34" t="s">
        <v>178</v>
      </c>
      <c r="E53" s="35" t="s">
        <v>218</v>
      </c>
      <c r="F53" s="36" t="s">
        <v>219</v>
      </c>
      <c r="G53" s="36"/>
      <c r="H53" s="34" t="s">
        <v>23</v>
      </c>
      <c r="I53" s="36"/>
      <c r="J53" s="36"/>
    </row>
    <row r="54" spans="1:10" ht="30.75">
      <c r="A54" s="19">
        <v>50</v>
      </c>
      <c r="B54" s="15" t="s">
        <v>220</v>
      </c>
      <c r="C54" s="34" t="s">
        <v>12</v>
      </c>
      <c r="D54" s="34" t="s">
        <v>13</v>
      </c>
      <c r="E54" s="35" t="s">
        <v>221</v>
      </c>
      <c r="F54" s="36" t="s">
        <v>222</v>
      </c>
      <c r="G54" s="36"/>
      <c r="H54" s="34" t="s">
        <v>23</v>
      </c>
      <c r="I54" s="36"/>
      <c r="J54" s="36"/>
    </row>
    <row r="55" spans="1:10" ht="60.75">
      <c r="A55" s="19">
        <v>51</v>
      </c>
      <c r="B55" s="15" t="s">
        <v>223</v>
      </c>
      <c r="C55" s="34" t="s">
        <v>12</v>
      </c>
      <c r="D55" s="34" t="s">
        <v>37</v>
      </c>
      <c r="E55" s="35" t="s">
        <v>224</v>
      </c>
      <c r="F55" s="36" t="s">
        <v>225</v>
      </c>
      <c r="G55" s="36"/>
      <c r="H55" s="34" t="s">
        <v>23</v>
      </c>
      <c r="I55" s="36"/>
      <c r="J55" s="36"/>
    </row>
    <row r="56" spans="1:10" ht="45.75">
      <c r="A56" s="19">
        <v>52</v>
      </c>
      <c r="B56" s="15" t="s">
        <v>226</v>
      </c>
      <c r="C56" s="34" t="s">
        <v>12</v>
      </c>
      <c r="D56" s="34" t="s">
        <v>37</v>
      </c>
      <c r="E56" s="35" t="s">
        <v>227</v>
      </c>
      <c r="F56" s="36" t="s">
        <v>228</v>
      </c>
      <c r="G56" s="36"/>
      <c r="H56" s="34" t="s">
        <v>23</v>
      </c>
      <c r="I56" s="36"/>
      <c r="J56" s="36"/>
    </row>
    <row r="57" spans="1:10" ht="45.75">
      <c r="A57" s="19">
        <v>53</v>
      </c>
      <c r="B57" s="15" t="s">
        <v>229</v>
      </c>
      <c r="C57" s="34" t="s">
        <v>12</v>
      </c>
      <c r="D57" s="34" t="s">
        <v>37</v>
      </c>
      <c r="E57" s="35" t="s">
        <v>230</v>
      </c>
      <c r="F57" s="36" t="s">
        <v>231</v>
      </c>
      <c r="G57" s="36" t="s">
        <v>232</v>
      </c>
      <c r="H57" s="34" t="s">
        <v>23</v>
      </c>
      <c r="I57" s="36"/>
      <c r="J57" s="36"/>
    </row>
    <row r="58" spans="1:10" ht="76.5">
      <c r="A58" s="19">
        <v>54</v>
      </c>
      <c r="B58" s="15" t="s">
        <v>233</v>
      </c>
      <c r="C58" s="34" t="s">
        <v>12</v>
      </c>
      <c r="D58" s="34" t="s">
        <v>37</v>
      </c>
      <c r="E58" s="35" t="s">
        <v>234</v>
      </c>
      <c r="F58" s="36" t="s">
        <v>235</v>
      </c>
      <c r="G58" s="36" t="s">
        <v>236</v>
      </c>
      <c r="H58" s="34" t="s">
        <v>23</v>
      </c>
      <c r="I58" s="36"/>
      <c r="J58" s="36"/>
    </row>
    <row r="59" spans="1:10" ht="30.75">
      <c r="A59" s="19">
        <v>55</v>
      </c>
      <c r="B59" s="15" t="s">
        <v>237</v>
      </c>
      <c r="C59" s="34" t="s">
        <v>12</v>
      </c>
      <c r="D59" s="34" t="s">
        <v>13</v>
      </c>
      <c r="E59" s="35" t="s">
        <v>238</v>
      </c>
      <c r="F59" s="36" t="s">
        <v>239</v>
      </c>
      <c r="G59" s="36" t="s">
        <v>240</v>
      </c>
      <c r="H59" s="34" t="s">
        <v>23</v>
      </c>
      <c r="I59" s="36"/>
      <c r="J59" s="36"/>
    </row>
    <row r="60" spans="1:10" ht="30.75">
      <c r="A60" s="19">
        <v>56</v>
      </c>
      <c r="B60" s="15" t="s">
        <v>241</v>
      </c>
      <c r="C60" s="34" t="s">
        <v>12</v>
      </c>
      <c r="D60" s="34" t="s">
        <v>13</v>
      </c>
      <c r="E60" s="35" t="s">
        <v>242</v>
      </c>
      <c r="F60" s="36" t="s">
        <v>243</v>
      </c>
      <c r="G60" s="36" t="s">
        <v>244</v>
      </c>
      <c r="H60" s="34" t="s">
        <v>23</v>
      </c>
      <c r="I60" s="36"/>
      <c r="J60" s="36"/>
    </row>
    <row r="61" spans="1:10" ht="30.75">
      <c r="A61" s="19">
        <v>57</v>
      </c>
      <c r="B61" s="15" t="s">
        <v>245</v>
      </c>
      <c r="C61" s="34" t="s">
        <v>12</v>
      </c>
      <c r="D61" s="34" t="s">
        <v>26</v>
      </c>
      <c r="E61" s="35" t="s">
        <v>246</v>
      </c>
      <c r="F61" s="36" t="s">
        <v>247</v>
      </c>
      <c r="G61" s="36"/>
      <c r="H61" s="34" t="s">
        <v>23</v>
      </c>
      <c r="I61" s="36"/>
      <c r="J61" s="36"/>
    </row>
    <row r="62" spans="1:10" ht="30.75">
      <c r="A62" s="19">
        <v>58</v>
      </c>
      <c r="B62" s="15" t="s">
        <v>248</v>
      </c>
      <c r="C62" s="34" t="s">
        <v>52</v>
      </c>
      <c r="D62" s="34" t="s">
        <v>58</v>
      </c>
      <c r="E62" s="35" t="s">
        <v>249</v>
      </c>
      <c r="F62" s="36" t="s">
        <v>250</v>
      </c>
      <c r="G62" s="36"/>
      <c r="H62" s="34" t="s">
        <v>23</v>
      </c>
      <c r="I62" s="36"/>
      <c r="J62" s="36"/>
    </row>
    <row r="63" spans="1:10" ht="45.75">
      <c r="A63" s="19">
        <v>59</v>
      </c>
      <c r="B63" s="15" t="s">
        <v>251</v>
      </c>
      <c r="C63" s="34" t="s">
        <v>52</v>
      </c>
      <c r="D63" s="34" t="s">
        <v>53</v>
      </c>
      <c r="E63" s="35" t="s">
        <v>252</v>
      </c>
      <c r="F63" s="36" t="s">
        <v>253</v>
      </c>
      <c r="G63" s="36" t="s">
        <v>254</v>
      </c>
      <c r="H63" s="34" t="s">
        <v>23</v>
      </c>
      <c r="I63" s="36"/>
      <c r="J63" s="36"/>
    </row>
    <row r="64" spans="1:10" ht="76.5">
      <c r="A64" s="19">
        <v>60</v>
      </c>
      <c r="B64" s="15" t="s">
        <v>255</v>
      </c>
      <c r="C64" s="34" t="s">
        <v>52</v>
      </c>
      <c r="D64" s="34" t="s">
        <v>256</v>
      </c>
      <c r="E64" s="35" t="s">
        <v>257</v>
      </c>
      <c r="F64" s="36" t="s">
        <v>258</v>
      </c>
      <c r="G64" s="36" t="s">
        <v>259</v>
      </c>
      <c r="H64" s="34" t="s">
        <v>23</v>
      </c>
      <c r="I64" s="36"/>
      <c r="J64" s="36"/>
    </row>
    <row r="65" spans="1:10" ht="60.75">
      <c r="A65" s="19">
        <v>61</v>
      </c>
      <c r="B65" s="15" t="s">
        <v>260</v>
      </c>
      <c r="C65" s="34" t="s">
        <v>52</v>
      </c>
      <c r="D65" s="34" t="s">
        <v>256</v>
      </c>
      <c r="E65" s="35" t="s">
        <v>261</v>
      </c>
      <c r="F65" s="36" t="s">
        <v>262</v>
      </c>
      <c r="G65" s="36"/>
      <c r="H65" s="34" t="s">
        <v>23</v>
      </c>
      <c r="I65" s="36"/>
      <c r="J65" s="36"/>
    </row>
    <row r="66" spans="1:10" ht="45.75">
      <c r="A66" s="19">
        <v>62</v>
      </c>
      <c r="B66" s="15" t="s">
        <v>263</v>
      </c>
      <c r="C66" s="34" t="s">
        <v>264</v>
      </c>
      <c r="D66" s="34" t="s">
        <v>265</v>
      </c>
      <c r="E66" s="35" t="s">
        <v>266</v>
      </c>
      <c r="F66" s="36" t="s">
        <v>267</v>
      </c>
      <c r="G66" s="36"/>
      <c r="H66" s="34" t="s">
        <v>23</v>
      </c>
      <c r="I66" s="36"/>
      <c r="J66" s="36"/>
    </row>
    <row r="67" spans="1:10" ht="60.75">
      <c r="A67" s="19">
        <v>63</v>
      </c>
      <c r="B67" s="15" t="s">
        <v>268</v>
      </c>
      <c r="C67" s="34" t="s">
        <v>264</v>
      </c>
      <c r="D67" s="34" t="s">
        <v>269</v>
      </c>
      <c r="E67" s="35" t="s">
        <v>270</v>
      </c>
      <c r="F67" s="36" t="s">
        <v>271</v>
      </c>
      <c r="G67" s="36"/>
      <c r="H67" s="34" t="s">
        <v>17</v>
      </c>
      <c r="I67" s="36"/>
      <c r="J67" s="36"/>
    </row>
    <row r="68" spans="1:10" ht="45.75">
      <c r="A68" s="19">
        <v>64</v>
      </c>
      <c r="B68" s="15" t="s">
        <v>272</v>
      </c>
      <c r="C68" s="34" t="s">
        <v>264</v>
      </c>
      <c r="D68" s="34" t="s">
        <v>269</v>
      </c>
      <c r="E68" s="35" t="s">
        <v>273</v>
      </c>
      <c r="F68" s="36" t="s">
        <v>274</v>
      </c>
      <c r="G68" s="36"/>
      <c r="H68" s="34" t="s">
        <v>23</v>
      </c>
      <c r="I68" s="36"/>
      <c r="J68" s="36"/>
    </row>
    <row r="69" spans="1:10" ht="45.75">
      <c r="A69" s="19">
        <v>65</v>
      </c>
      <c r="B69" s="15" t="s">
        <v>275</v>
      </c>
      <c r="C69" s="34" t="s">
        <v>264</v>
      </c>
      <c r="D69" s="34" t="s">
        <v>276</v>
      </c>
      <c r="E69" s="35" t="s">
        <v>277</v>
      </c>
      <c r="F69" s="36" t="s">
        <v>278</v>
      </c>
      <c r="G69" s="36"/>
      <c r="H69" s="34" t="s">
        <v>23</v>
      </c>
      <c r="I69" s="36"/>
      <c r="J69" s="36"/>
    </row>
    <row r="70" spans="1:10" ht="60.75">
      <c r="A70" s="19">
        <v>66</v>
      </c>
      <c r="B70" s="15" t="s">
        <v>279</v>
      </c>
      <c r="C70" s="34" t="s">
        <v>264</v>
      </c>
      <c r="D70" s="34" t="s">
        <v>276</v>
      </c>
      <c r="E70" s="35" t="s">
        <v>280</v>
      </c>
      <c r="F70" s="36" t="s">
        <v>281</v>
      </c>
      <c r="G70" s="36"/>
      <c r="H70" s="34" t="s">
        <v>23</v>
      </c>
      <c r="I70" s="36"/>
      <c r="J70" s="36"/>
    </row>
    <row r="71" spans="1:10" ht="45.75">
      <c r="A71" s="19">
        <v>67</v>
      </c>
      <c r="B71" s="15" t="s">
        <v>282</v>
      </c>
      <c r="C71" s="34" t="s">
        <v>264</v>
      </c>
      <c r="D71" s="34" t="s">
        <v>265</v>
      </c>
      <c r="E71" s="35" t="s">
        <v>283</v>
      </c>
      <c r="F71" s="36" t="s">
        <v>284</v>
      </c>
      <c r="G71" s="36"/>
      <c r="H71" s="34" t="s">
        <v>23</v>
      </c>
      <c r="I71" s="36"/>
      <c r="J71" s="36"/>
    </row>
    <row r="72" spans="1:10" ht="30.75">
      <c r="A72" s="19">
        <v>68</v>
      </c>
      <c r="B72" s="15" t="s">
        <v>285</v>
      </c>
      <c r="C72" s="34" t="s">
        <v>264</v>
      </c>
      <c r="D72" s="34" t="s">
        <v>265</v>
      </c>
      <c r="E72" s="35" t="s">
        <v>286</v>
      </c>
      <c r="F72" s="36" t="s">
        <v>287</v>
      </c>
      <c r="G72" s="36"/>
      <c r="H72" s="34" t="s">
        <v>23</v>
      </c>
      <c r="I72" s="36"/>
      <c r="J72" s="36"/>
    </row>
  </sheetData>
  <autoFilter ref="A4:J72" xr:uid="{00000000-0009-0000-0000-000000000000}"/>
  <conditionalFormatting sqref="H5:H40">
    <cfRule type="cellIs" dxfId="27" priority="6" operator="equal">
      <formula>"Alto"</formula>
    </cfRule>
  </conditionalFormatting>
  <conditionalFormatting sqref="H6">
    <cfRule type="cellIs" dxfId="26" priority="4" operator="equal">
      <formula>"Medio"</formula>
    </cfRule>
    <cfRule type="cellIs" dxfId="25" priority="5" operator="equal">
      <formula>"Basso"</formula>
    </cfRule>
  </conditionalFormatting>
  <conditionalFormatting sqref="H5:H72">
    <cfRule type="cellIs" dxfId="24" priority="3" operator="equal">
      <formula>"Basso"</formula>
    </cfRule>
  </conditionalFormatting>
  <conditionalFormatting sqref="H5:H72">
    <cfRule type="cellIs" dxfId="23" priority="1" operator="equal">
      <formula>"Alto"</formula>
    </cfRule>
  </conditionalFormatting>
  <conditionalFormatting sqref="H5:H72">
    <cfRule type="cellIs" dxfId="22" priority="2" operator="equal">
      <formula>"Medio"</formula>
    </cfRule>
  </conditionalFormatting>
  <dataValidations count="3">
    <dataValidation type="list" allowBlank="1" sqref="I5:I30" xr:uid="{00000000-0002-0000-0000-000000000000}">
      <formula1>"1,2,3,5,8,13,spezzare,?"</formula1>
    </dataValidation>
    <dataValidation type="list" allowBlank="1" sqref="J5:J30" xr:uid="{00000000-0002-0000-0000-000001000000}">
      <formula1>"x"</formula1>
    </dataValidation>
    <dataValidation type="list" allowBlank="1" showInputMessage="1" showErrorMessage="1" sqref="H7:H1048576 H6 H5" xr:uid="{FA7366CE-0250-49BC-B53A-1BEEE348EDBD}">
      <formula1>"Basso,Medio,Alto"</formula1>
    </dataValidation>
  </dataValidation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6AA17-FE7D-4148-A63A-0D01F0DDE880}">
  <dimension ref="A1:E21"/>
  <sheetViews>
    <sheetView workbookViewId="0">
      <selection activeCell="E28" sqref="E28"/>
    </sheetView>
  </sheetViews>
  <sheetFormatPr defaultRowHeight="15.75" customHeight="1"/>
  <cols>
    <col min="1" max="1" width="7.140625" bestFit="1" customWidth="1"/>
    <col min="2" max="2" width="38.5703125" bestFit="1" customWidth="1"/>
    <col min="3" max="3" width="6.28515625" bestFit="1" customWidth="1"/>
    <col min="4" max="4" width="40.140625" bestFit="1" customWidth="1"/>
    <col min="5" max="5" width="80" bestFit="1" customWidth="1"/>
  </cols>
  <sheetData>
    <row r="1" spans="1:5" ht="15.75" customHeight="1">
      <c r="A1" s="42" t="s">
        <v>2</v>
      </c>
      <c r="B1" s="43" t="s">
        <v>288</v>
      </c>
      <c r="C1" s="43" t="s">
        <v>3</v>
      </c>
      <c r="D1" s="43" t="s">
        <v>289</v>
      </c>
      <c r="E1" s="43" t="s">
        <v>5</v>
      </c>
    </row>
    <row r="2" spans="1:5" ht="15.75" customHeight="1">
      <c r="A2" s="37" t="s">
        <v>12</v>
      </c>
      <c r="B2" s="47" t="s">
        <v>290</v>
      </c>
      <c r="C2" s="39" t="s">
        <v>13</v>
      </c>
      <c r="D2" s="44" t="s">
        <v>291</v>
      </c>
      <c r="E2" s="44" t="s">
        <v>292</v>
      </c>
    </row>
    <row r="3" spans="1:5" ht="15.75" customHeight="1">
      <c r="A3" s="37" t="s">
        <v>12</v>
      </c>
      <c r="B3" s="48" t="s">
        <v>290</v>
      </c>
      <c r="C3" s="40" t="s">
        <v>26</v>
      </c>
      <c r="D3" s="45" t="s">
        <v>293</v>
      </c>
      <c r="E3" s="45" t="s">
        <v>294</v>
      </c>
    </row>
    <row r="4" spans="1:5" ht="15.75" customHeight="1">
      <c r="A4" s="37" t="s">
        <v>12</v>
      </c>
      <c r="B4" s="48" t="s">
        <v>290</v>
      </c>
      <c r="C4" s="40" t="s">
        <v>37</v>
      </c>
      <c r="D4" s="45" t="s">
        <v>295</v>
      </c>
      <c r="E4" s="45" t="s">
        <v>296</v>
      </c>
    </row>
    <row r="5" spans="1:5" ht="15.75" customHeight="1">
      <c r="A5" s="37" t="s">
        <v>52</v>
      </c>
      <c r="B5" s="48" t="s">
        <v>297</v>
      </c>
      <c r="C5" s="40" t="s">
        <v>53</v>
      </c>
      <c r="D5" s="45" t="s">
        <v>298</v>
      </c>
      <c r="E5" s="45" t="s">
        <v>299</v>
      </c>
    </row>
    <row r="6" spans="1:5" ht="15.75" customHeight="1">
      <c r="A6" s="37" t="s">
        <v>52</v>
      </c>
      <c r="B6" s="48" t="s">
        <v>297</v>
      </c>
      <c r="C6" s="40" t="s">
        <v>63</v>
      </c>
      <c r="D6" s="45" t="s">
        <v>300</v>
      </c>
      <c r="E6" s="45" t="s">
        <v>301</v>
      </c>
    </row>
    <row r="7" spans="1:5" ht="15.75" customHeight="1">
      <c r="A7" s="37" t="s">
        <v>52</v>
      </c>
      <c r="B7" s="48" t="s">
        <v>297</v>
      </c>
      <c r="C7" s="40" t="s">
        <v>98</v>
      </c>
      <c r="D7" s="45" t="s">
        <v>302</v>
      </c>
      <c r="E7" s="45" t="s">
        <v>303</v>
      </c>
    </row>
    <row r="8" spans="1:5" ht="15.75" customHeight="1">
      <c r="A8" s="37" t="s">
        <v>52</v>
      </c>
      <c r="B8" s="48" t="s">
        <v>297</v>
      </c>
      <c r="C8" s="40" t="s">
        <v>58</v>
      </c>
      <c r="D8" s="45" t="s">
        <v>304</v>
      </c>
      <c r="E8" s="45" t="s">
        <v>305</v>
      </c>
    </row>
    <row r="9" spans="1:5" ht="15.75" customHeight="1">
      <c r="A9" s="37" t="s">
        <v>52</v>
      </c>
      <c r="B9" s="48" t="s">
        <v>297</v>
      </c>
      <c r="C9" s="40" t="s">
        <v>256</v>
      </c>
      <c r="D9" s="45" t="s">
        <v>306</v>
      </c>
      <c r="E9" s="45" t="s">
        <v>307</v>
      </c>
    </row>
    <row r="10" spans="1:5" ht="15.75" customHeight="1">
      <c r="A10" s="37" t="s">
        <v>75</v>
      </c>
      <c r="B10" s="48" t="s">
        <v>308</v>
      </c>
      <c r="C10" s="40" t="s">
        <v>76</v>
      </c>
      <c r="D10" s="45" t="s">
        <v>309</v>
      </c>
      <c r="E10" s="45" t="s">
        <v>310</v>
      </c>
    </row>
    <row r="11" spans="1:5" ht="15.75" customHeight="1">
      <c r="A11" s="37" t="s">
        <v>75</v>
      </c>
      <c r="B11" s="48" t="s">
        <v>308</v>
      </c>
      <c r="C11" s="40" t="s">
        <v>103</v>
      </c>
      <c r="D11" s="45" t="s">
        <v>311</v>
      </c>
      <c r="E11" s="45" t="s">
        <v>312</v>
      </c>
    </row>
    <row r="12" spans="1:5" ht="15.75" customHeight="1">
      <c r="A12" s="37" t="s">
        <v>75</v>
      </c>
      <c r="B12" s="48" t="s">
        <v>308</v>
      </c>
      <c r="C12" s="40" t="s">
        <v>166</v>
      </c>
      <c r="D12" s="45" t="s">
        <v>313</v>
      </c>
      <c r="E12" s="45" t="s">
        <v>314</v>
      </c>
    </row>
    <row r="13" spans="1:5" ht="15.75" customHeight="1">
      <c r="A13" s="37" t="s">
        <v>75</v>
      </c>
      <c r="B13" s="48" t="s">
        <v>308</v>
      </c>
      <c r="C13" s="40" t="s">
        <v>161</v>
      </c>
      <c r="D13" s="45" t="s">
        <v>315</v>
      </c>
      <c r="E13" s="45" t="s">
        <v>316</v>
      </c>
    </row>
    <row r="14" spans="1:5" ht="15.75" customHeight="1">
      <c r="A14" s="37" t="s">
        <v>81</v>
      </c>
      <c r="B14" s="48" t="s">
        <v>317</v>
      </c>
      <c r="C14" s="40" t="s">
        <v>126</v>
      </c>
      <c r="D14" s="45" t="s">
        <v>318</v>
      </c>
      <c r="E14" s="45" t="s">
        <v>319</v>
      </c>
    </row>
    <row r="15" spans="1:5" ht="15.75" customHeight="1">
      <c r="A15" s="37" t="s">
        <v>81</v>
      </c>
      <c r="B15" s="48" t="s">
        <v>317</v>
      </c>
      <c r="C15" s="40" t="s">
        <v>135</v>
      </c>
      <c r="D15" s="45" t="s">
        <v>320</v>
      </c>
      <c r="E15" s="45" t="s">
        <v>321</v>
      </c>
    </row>
    <row r="16" spans="1:5" ht="15.75" customHeight="1">
      <c r="A16" s="37" t="s">
        <v>81</v>
      </c>
      <c r="B16" s="48" t="s">
        <v>317</v>
      </c>
      <c r="C16" s="40" t="s">
        <v>82</v>
      </c>
      <c r="D16" s="45" t="s">
        <v>322</v>
      </c>
      <c r="E16" s="45" t="s">
        <v>323</v>
      </c>
    </row>
    <row r="17" spans="1:5" ht="15.75" customHeight="1">
      <c r="A17" s="37" t="s">
        <v>81</v>
      </c>
      <c r="B17" s="48" t="s">
        <v>317</v>
      </c>
      <c r="C17" s="40" t="s">
        <v>194</v>
      </c>
      <c r="D17" s="45" t="s">
        <v>324</v>
      </c>
      <c r="E17" s="45" t="s">
        <v>325</v>
      </c>
    </row>
    <row r="18" spans="1:5" ht="15.75" customHeight="1">
      <c r="A18" s="37" t="s">
        <v>81</v>
      </c>
      <c r="B18" s="48" t="s">
        <v>317</v>
      </c>
      <c r="C18" s="40" t="s">
        <v>178</v>
      </c>
      <c r="D18" s="45" t="s">
        <v>326</v>
      </c>
      <c r="E18" s="45" t="s">
        <v>327</v>
      </c>
    </row>
    <row r="19" spans="1:5" ht="15.75" customHeight="1">
      <c r="A19" s="37" t="s">
        <v>264</v>
      </c>
      <c r="B19" s="48" t="s">
        <v>328</v>
      </c>
      <c r="C19" s="40" t="s">
        <v>269</v>
      </c>
      <c r="D19" s="45" t="s">
        <v>329</v>
      </c>
      <c r="E19" s="45" t="s">
        <v>330</v>
      </c>
    </row>
    <row r="20" spans="1:5" ht="15.75" customHeight="1">
      <c r="A20" s="37" t="s">
        <v>264</v>
      </c>
      <c r="B20" s="48" t="s">
        <v>328</v>
      </c>
      <c r="C20" s="40" t="s">
        <v>276</v>
      </c>
      <c r="D20" s="45" t="s">
        <v>331</v>
      </c>
      <c r="E20" s="45" t="s">
        <v>332</v>
      </c>
    </row>
    <row r="21" spans="1:5" ht="15.75" customHeight="1">
      <c r="A21" s="38" t="s">
        <v>264</v>
      </c>
      <c r="B21" s="49" t="s">
        <v>328</v>
      </c>
      <c r="C21" s="41" t="s">
        <v>265</v>
      </c>
      <c r="D21" s="46" t="s">
        <v>333</v>
      </c>
      <c r="E21" s="46" t="s">
        <v>334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workbookViewId="0">
      <pane ySplit="3" topLeftCell="A4" activePane="bottomLeft" state="frozen"/>
      <selection pane="bottomLeft" activeCell="D6" sqref="D6"/>
    </sheetView>
  </sheetViews>
  <sheetFormatPr defaultRowHeight="15"/>
  <cols>
    <col min="1" max="1" width="14" customWidth="1"/>
    <col min="2" max="2" width="12" customWidth="1"/>
    <col min="3" max="3" width="90" customWidth="1"/>
    <col min="4" max="4" width="12" customWidth="1"/>
    <col min="5" max="5" width="16" customWidth="1"/>
  </cols>
  <sheetData>
    <row r="1" spans="1:5" ht="17.25" customHeight="1">
      <c r="A1" s="1" t="s">
        <v>335</v>
      </c>
      <c r="B1" s="1" t="s">
        <v>336</v>
      </c>
      <c r="C1" s="1" t="s">
        <v>337</v>
      </c>
      <c r="D1" s="1" t="s">
        <v>8</v>
      </c>
      <c r="E1" s="1" t="s">
        <v>9</v>
      </c>
    </row>
    <row r="2" spans="1:5">
      <c r="A2" s="3"/>
      <c r="B2" s="3"/>
      <c r="C2" s="4"/>
      <c r="D2" s="3"/>
      <c r="E2" s="3"/>
    </row>
    <row r="3" spans="1:5" ht="31.5" customHeight="1">
      <c r="A3" s="3"/>
      <c r="B3" s="3"/>
      <c r="C3" s="4"/>
      <c r="D3" s="3"/>
      <c r="E3" s="3"/>
    </row>
    <row r="4" spans="1:5" ht="33.950000000000003" customHeight="1">
      <c r="A4" s="3"/>
      <c r="B4" s="3"/>
      <c r="C4" s="4"/>
      <c r="D4" s="3"/>
      <c r="E4" s="3"/>
    </row>
    <row r="5" spans="1:5" ht="33.950000000000003" customHeight="1">
      <c r="A5" s="3"/>
      <c r="B5" s="3"/>
      <c r="C5" s="4"/>
      <c r="D5" s="3"/>
      <c r="E5" s="3"/>
    </row>
    <row r="6" spans="1:5" ht="33.950000000000003" customHeight="1">
      <c r="A6" s="3"/>
      <c r="B6" s="3"/>
      <c r="C6" s="4"/>
      <c r="D6" s="3"/>
      <c r="E6" s="3"/>
    </row>
    <row r="7" spans="1:5" ht="33.950000000000003" customHeight="1">
      <c r="A7" s="3"/>
      <c r="B7" s="3"/>
      <c r="C7" s="4"/>
      <c r="D7" s="3"/>
      <c r="E7" s="3"/>
    </row>
    <row r="8" spans="1:5" ht="33.950000000000003" customHeight="1">
      <c r="A8" s="3"/>
      <c r="B8" s="3"/>
      <c r="C8" s="4"/>
      <c r="D8" s="3"/>
      <c r="E8" s="3"/>
    </row>
    <row r="9" spans="1:5" ht="33.950000000000003" customHeight="1">
      <c r="A9" s="3"/>
      <c r="B9" s="3"/>
      <c r="C9" s="4"/>
      <c r="D9" s="3"/>
      <c r="E9" s="3"/>
    </row>
    <row r="10" spans="1:5" ht="33.950000000000003" customHeight="1">
      <c r="A10" s="3"/>
      <c r="B10" s="3"/>
      <c r="C10" s="4"/>
      <c r="D10" s="3"/>
      <c r="E10" s="3"/>
    </row>
    <row r="11" spans="1:5" ht="33.950000000000003" customHeight="1">
      <c r="A11" s="3"/>
      <c r="B11" s="3"/>
      <c r="C11" s="4"/>
      <c r="D11" s="3"/>
      <c r="E11" s="3"/>
    </row>
    <row r="12" spans="1:5" ht="33.950000000000003" customHeight="1">
      <c r="A12" s="3"/>
      <c r="B12" s="3"/>
      <c r="C12" s="4"/>
      <c r="D12" s="3"/>
      <c r="E12" s="3"/>
    </row>
    <row r="13" spans="1:5" ht="33.950000000000003" customHeight="1">
      <c r="A13" s="3"/>
      <c r="B13" s="3"/>
      <c r="C13" s="4"/>
      <c r="D13" s="3"/>
      <c r="E13" s="3"/>
    </row>
    <row r="14" spans="1:5" ht="33.950000000000003" customHeight="1">
      <c r="A14" s="3"/>
      <c r="B14" s="3"/>
      <c r="C14" s="4"/>
      <c r="D14" s="3"/>
      <c r="E14" s="3"/>
    </row>
    <row r="15" spans="1:5" ht="33.950000000000003" customHeight="1">
      <c r="A15" s="3"/>
      <c r="B15" s="3"/>
      <c r="C15" s="4"/>
      <c r="D15" s="3"/>
      <c r="E15" s="3"/>
    </row>
    <row r="16" spans="1:5" ht="33.950000000000003" customHeight="1">
      <c r="A16" s="3"/>
      <c r="B16" s="3"/>
      <c r="C16" s="4"/>
      <c r="D16" s="3"/>
      <c r="E16" s="3"/>
    </row>
    <row r="17" spans="1:5" ht="33.950000000000003" customHeight="1">
      <c r="A17" s="3"/>
      <c r="B17" s="3"/>
      <c r="C17" s="4"/>
      <c r="D17" s="3"/>
      <c r="E17" s="3"/>
    </row>
    <row r="18" spans="1:5" ht="33.950000000000003" customHeight="1">
      <c r="A18" s="3"/>
      <c r="B18" s="3"/>
      <c r="C18" s="4"/>
      <c r="D18" s="3"/>
      <c r="E18" s="3"/>
    </row>
    <row r="19" spans="1:5" ht="33.950000000000003" customHeight="1">
      <c r="A19" s="3"/>
      <c r="B19" s="3"/>
      <c r="C19" s="4"/>
      <c r="D19" s="3"/>
      <c r="E19" s="3"/>
    </row>
    <row r="20" spans="1:5" ht="33.950000000000003" customHeight="1">
      <c r="A20" s="3"/>
      <c r="B20" s="3"/>
      <c r="C20" s="4"/>
      <c r="D20" s="3"/>
      <c r="E20" s="3"/>
    </row>
    <row r="21" spans="1:5" ht="33.950000000000003" customHeight="1">
      <c r="A21" s="3"/>
      <c r="B21" s="3"/>
      <c r="C21" s="4"/>
      <c r="D21" s="3"/>
      <c r="E21" s="3"/>
    </row>
    <row r="22" spans="1:5" ht="33.950000000000003" customHeight="1">
      <c r="A22" s="3"/>
      <c r="B22" s="3"/>
      <c r="C22" s="4"/>
      <c r="D22" s="3"/>
      <c r="E22" s="3"/>
    </row>
    <row r="23" spans="1:5" ht="33.950000000000003" customHeight="1">
      <c r="A23" s="3"/>
      <c r="B23" s="3"/>
      <c r="C23" s="4"/>
      <c r="D23" s="3"/>
      <c r="E23" s="3"/>
    </row>
    <row r="24" spans="1:5" ht="33.950000000000003" customHeight="1">
      <c r="A24" s="3"/>
      <c r="B24" s="3"/>
      <c r="C24" s="4"/>
      <c r="D24" s="3"/>
      <c r="E24" s="3"/>
    </row>
    <row r="25" spans="1:5" ht="33.950000000000003" customHeight="1">
      <c r="A25" s="3"/>
      <c r="B25" s="3"/>
      <c r="C25" s="4"/>
      <c r="D25" s="3"/>
      <c r="E25" s="3"/>
    </row>
    <row r="26" spans="1:5" ht="33.950000000000003" customHeight="1">
      <c r="A26" s="3"/>
      <c r="B26" s="3"/>
      <c r="C26" s="4"/>
      <c r="D26" s="3"/>
      <c r="E26" s="3"/>
    </row>
    <row r="27" spans="1:5" ht="33.950000000000003" customHeight="1">
      <c r="A27" s="3"/>
      <c r="B27" s="3"/>
      <c r="C27" s="4"/>
      <c r="D27" s="3"/>
      <c r="E27" s="3"/>
    </row>
    <row r="28" spans="1:5" ht="33.950000000000003" customHeight="1">
      <c r="A28" s="3"/>
      <c r="B28" s="3"/>
      <c r="C28" s="4"/>
      <c r="D28" s="3"/>
      <c r="E28" s="3"/>
    </row>
    <row r="29" spans="1:5" ht="33.950000000000003" customHeight="1">
      <c r="A29" s="3"/>
      <c r="B29" s="3"/>
      <c r="C29" s="4"/>
      <c r="D29" s="3"/>
      <c r="E29" s="3"/>
    </row>
    <row r="30" spans="1:5" ht="33.950000000000003" customHeight="1">
      <c r="A30" s="3"/>
      <c r="B30" s="3"/>
      <c r="C30" s="4"/>
      <c r="D30" s="3"/>
      <c r="E30" s="3"/>
    </row>
    <row r="31" spans="1:5" ht="33.950000000000003" customHeight="1">
      <c r="A31" s="3"/>
      <c r="B31" s="3"/>
      <c r="C31" s="4"/>
      <c r="D31" s="3"/>
      <c r="E31" s="3"/>
    </row>
    <row r="32" spans="1:5" ht="33.950000000000003" customHeight="1">
      <c r="A32" s="3"/>
      <c r="B32" s="3"/>
      <c r="C32" s="4"/>
      <c r="D32" s="3"/>
      <c r="E32" s="3"/>
    </row>
    <row r="33" spans="1:5" ht="33.950000000000003" customHeight="1">
      <c r="A33" s="3"/>
      <c r="B33" s="3"/>
      <c r="C33" s="4"/>
      <c r="D33" s="3"/>
      <c r="E33" s="3"/>
    </row>
    <row r="34" spans="1:5" ht="33.950000000000003" customHeight="1">
      <c r="A34" s="3"/>
      <c r="B34" s="3"/>
      <c r="C34" s="4"/>
      <c r="D34" s="3"/>
      <c r="E34" s="3"/>
    </row>
    <row r="35" spans="1:5" ht="33.950000000000003" customHeight="1">
      <c r="A35" s="3"/>
      <c r="B35" s="3"/>
      <c r="C35" s="4"/>
      <c r="D35" s="3"/>
      <c r="E35" s="3"/>
    </row>
    <row r="36" spans="1:5" ht="33.950000000000003" customHeight="1">
      <c r="A36" s="3"/>
      <c r="B36" s="3"/>
      <c r="C36" s="4"/>
      <c r="D36" s="3"/>
      <c r="E36" s="3"/>
    </row>
    <row r="37" spans="1:5" ht="33.950000000000003" customHeight="1">
      <c r="A37" s="3"/>
      <c r="B37" s="3"/>
      <c r="C37" s="4"/>
      <c r="D37" s="3"/>
      <c r="E37" s="3"/>
    </row>
    <row r="38" spans="1:5" ht="33.950000000000003" customHeight="1">
      <c r="A38" s="3"/>
      <c r="B38" s="3"/>
      <c r="C38" s="4"/>
      <c r="D38" s="3"/>
      <c r="E38" s="3"/>
    </row>
    <row r="39" spans="1:5" ht="33.950000000000003" customHeight="1">
      <c r="A39" s="3"/>
      <c r="B39" s="3"/>
      <c r="C39" s="4"/>
      <c r="D39" s="3"/>
      <c r="E39" s="3"/>
    </row>
    <row r="40" spans="1:5" ht="33.950000000000003" customHeight="1">
      <c r="A40" s="3"/>
      <c r="B40" s="3"/>
      <c r="C40" s="4"/>
      <c r="D40" s="3"/>
      <c r="E40" s="3"/>
    </row>
  </sheetData>
  <autoFilter ref="A3:E40" xr:uid="{00000000-0009-0000-0000-000001000000}"/>
  <dataValidations count="2">
    <dataValidation type="list" allowBlank="1" sqref="D2:D40" xr:uid="{00000000-0002-0000-0100-000000000000}">
      <formula1>"1,2,3,5,8,13,spezzare,?"</formula1>
    </dataValidation>
    <dataValidation type="list" allowBlank="1" sqref="E2:E40" xr:uid="{00000000-0002-0000-0100-000001000000}">
      <formula1>"x"</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52AD3-A16B-4AC3-9071-84AFAFD13271}">
  <dimension ref="A1:E36"/>
  <sheetViews>
    <sheetView workbookViewId="0">
      <selection activeCell="D2" sqref="D2"/>
    </sheetView>
  </sheetViews>
  <sheetFormatPr defaultRowHeight="15"/>
  <cols>
    <col min="1" max="1" width="3" bestFit="1" customWidth="1"/>
    <col min="2" max="2" width="23" bestFit="1" customWidth="1"/>
    <col min="3" max="3" width="33.28515625" bestFit="1" customWidth="1"/>
    <col min="4" max="4" width="37.85546875" customWidth="1"/>
    <col min="5" max="5" width="50.85546875" customWidth="1"/>
  </cols>
  <sheetData>
    <row r="1" spans="1:5" ht="16.5">
      <c r="A1" s="1" t="s">
        <v>1</v>
      </c>
      <c r="B1" s="1" t="s">
        <v>4</v>
      </c>
      <c r="C1" s="1" t="s">
        <v>5</v>
      </c>
      <c r="D1" s="1" t="s">
        <v>6</v>
      </c>
      <c r="E1" s="1" t="s">
        <v>7</v>
      </c>
    </row>
    <row r="2" spans="1:5" ht="137.25">
      <c r="A2" s="5"/>
      <c r="B2" s="6" t="s">
        <v>14</v>
      </c>
      <c r="C2" s="11" t="s">
        <v>338</v>
      </c>
      <c r="D2" s="7" t="s">
        <v>16</v>
      </c>
      <c r="E2" s="5" t="s">
        <v>17</v>
      </c>
    </row>
    <row r="3" spans="1:5" ht="106.5">
      <c r="A3" s="5"/>
      <c r="B3" s="6" t="s">
        <v>20</v>
      </c>
      <c r="C3" s="11" t="s">
        <v>339</v>
      </c>
      <c r="D3" s="7" t="s">
        <v>22</v>
      </c>
      <c r="E3" s="5" t="s">
        <v>23</v>
      </c>
    </row>
    <row r="4" spans="1:5" ht="152.25">
      <c r="A4" s="5"/>
      <c r="B4" s="6" t="s">
        <v>38</v>
      </c>
      <c r="C4" s="11" t="s">
        <v>39</v>
      </c>
      <c r="D4" s="7" t="s">
        <v>40</v>
      </c>
      <c r="E4" s="5" t="s">
        <v>23</v>
      </c>
    </row>
    <row r="5" spans="1:5" ht="60">
      <c r="A5" s="5"/>
      <c r="B5" s="6" t="s">
        <v>221</v>
      </c>
      <c r="C5" s="11" t="s">
        <v>340</v>
      </c>
      <c r="D5" s="7"/>
      <c r="E5" s="5" t="s">
        <v>23</v>
      </c>
    </row>
    <row r="6" spans="1:5" ht="48">
      <c r="A6" s="5"/>
      <c r="B6" s="6" t="s">
        <v>341</v>
      </c>
      <c r="C6" s="11" t="s">
        <v>225</v>
      </c>
      <c r="D6" s="7"/>
      <c r="E6" s="5" t="s">
        <v>23</v>
      </c>
    </row>
    <row r="7" spans="1:5" ht="60">
      <c r="A7" s="5"/>
      <c r="B7" s="12" t="s">
        <v>227</v>
      </c>
      <c r="C7" s="11" t="s">
        <v>228</v>
      </c>
      <c r="D7" s="7"/>
      <c r="E7" s="5" t="s">
        <v>23</v>
      </c>
    </row>
    <row r="8" spans="1:5" ht="106.5">
      <c r="A8" s="5"/>
      <c r="B8" s="6" t="s">
        <v>230</v>
      </c>
      <c r="C8" s="11" t="s">
        <v>342</v>
      </c>
      <c r="D8" s="7" t="s">
        <v>232</v>
      </c>
      <c r="E8" s="5" t="s">
        <v>23</v>
      </c>
    </row>
    <row r="9" spans="1:5" ht="137.25">
      <c r="A9" s="5"/>
      <c r="B9" s="12" t="s">
        <v>27</v>
      </c>
      <c r="C9" s="11" t="s">
        <v>28</v>
      </c>
      <c r="D9" s="7" t="s">
        <v>29</v>
      </c>
      <c r="E9" s="5" t="s">
        <v>23</v>
      </c>
    </row>
    <row r="10" spans="1:5" ht="152.25">
      <c r="A10" s="5"/>
      <c r="B10" s="12" t="s">
        <v>32</v>
      </c>
      <c r="C10" s="11" t="s">
        <v>33</v>
      </c>
      <c r="D10" s="7" t="s">
        <v>34</v>
      </c>
      <c r="E10" s="5" t="s">
        <v>17</v>
      </c>
    </row>
    <row r="11" spans="1:5" ht="36">
      <c r="A11" s="5"/>
      <c r="B11" s="6" t="s">
        <v>246</v>
      </c>
      <c r="C11" s="11" t="s">
        <v>247</v>
      </c>
      <c r="D11" s="13"/>
      <c r="E11" s="5" t="s">
        <v>23</v>
      </c>
    </row>
    <row r="12" spans="1:5" ht="121.5">
      <c r="A12" s="5"/>
      <c r="B12" s="12" t="s">
        <v>43</v>
      </c>
      <c r="C12" s="11" t="s">
        <v>343</v>
      </c>
      <c r="D12" s="7" t="s">
        <v>45</v>
      </c>
      <c r="E12" s="5" t="s">
        <v>23</v>
      </c>
    </row>
    <row r="13" spans="1:5" ht="229.5">
      <c r="A13" s="5"/>
      <c r="B13" s="12" t="s">
        <v>234</v>
      </c>
      <c r="C13" s="11" t="s">
        <v>235</v>
      </c>
      <c r="D13" s="7" t="s">
        <v>236</v>
      </c>
      <c r="E13" s="5" t="s">
        <v>23</v>
      </c>
    </row>
    <row r="14" spans="1:5" ht="60.75">
      <c r="A14" s="5"/>
      <c r="B14" s="12" t="s">
        <v>238</v>
      </c>
      <c r="C14" s="11" t="s">
        <v>239</v>
      </c>
      <c r="D14" s="7" t="s">
        <v>240</v>
      </c>
      <c r="E14" s="5" t="s">
        <v>23</v>
      </c>
    </row>
    <row r="15" spans="1:5" ht="60.75">
      <c r="A15" s="5"/>
      <c r="B15" s="6" t="s">
        <v>344</v>
      </c>
      <c r="C15" s="11" t="s">
        <v>243</v>
      </c>
      <c r="D15" s="7" t="s">
        <v>244</v>
      </c>
      <c r="E15" s="5" t="s">
        <v>23</v>
      </c>
    </row>
    <row r="16" spans="1:5" ht="259.5">
      <c r="A16" s="5"/>
      <c r="B16" s="12" t="s">
        <v>48</v>
      </c>
      <c r="C16" s="11" t="s">
        <v>345</v>
      </c>
      <c r="D16" s="7" t="s">
        <v>50</v>
      </c>
      <c r="E16" s="5" t="s">
        <v>17</v>
      </c>
    </row>
    <row r="17" spans="1:5">
      <c r="A17" s="5"/>
      <c r="B17" s="6"/>
      <c r="C17" s="11"/>
      <c r="D17" s="7"/>
      <c r="E17" s="5"/>
    </row>
    <row r="18" spans="1:5">
      <c r="A18" s="5"/>
      <c r="B18" s="6"/>
      <c r="C18" s="11"/>
      <c r="D18" s="7"/>
      <c r="E18" s="5"/>
    </row>
    <row r="19" spans="1:5">
      <c r="A19" s="5"/>
      <c r="B19" s="6"/>
      <c r="C19" s="11"/>
      <c r="D19" s="7"/>
      <c r="E19" s="5"/>
    </row>
    <row r="20" spans="1:5">
      <c r="A20" s="5"/>
      <c r="B20" s="6"/>
      <c r="C20" s="11"/>
      <c r="D20" s="7"/>
      <c r="E20" s="5"/>
    </row>
    <row r="21" spans="1:5">
      <c r="A21" s="5"/>
      <c r="B21" s="6"/>
      <c r="C21" s="11"/>
      <c r="D21" s="7"/>
      <c r="E21" s="5"/>
    </row>
    <row r="22" spans="1:5">
      <c r="A22" s="5"/>
      <c r="B22" s="6"/>
      <c r="C22" s="11"/>
      <c r="D22" s="7"/>
      <c r="E22" s="5"/>
    </row>
    <row r="23" spans="1:5">
      <c r="A23" s="5"/>
      <c r="B23" s="6"/>
      <c r="C23" s="11"/>
      <c r="D23" s="7"/>
      <c r="E23" s="5"/>
    </row>
    <row r="24" spans="1:5">
      <c r="A24" s="5"/>
      <c r="B24" s="6"/>
      <c r="C24" s="11"/>
      <c r="D24" s="7"/>
      <c r="E24" s="5"/>
    </row>
    <row r="25" spans="1:5">
      <c r="A25" s="5"/>
      <c r="B25" s="6"/>
      <c r="C25" s="11"/>
      <c r="D25" s="7"/>
      <c r="E25" s="5"/>
    </row>
    <row r="26" spans="1:5">
      <c r="A26" s="5"/>
      <c r="B26" s="6"/>
      <c r="C26" s="11"/>
      <c r="D26" s="7"/>
      <c r="E26" s="5"/>
    </row>
    <row r="27" spans="1:5">
      <c r="A27" s="5"/>
      <c r="B27" s="6"/>
      <c r="C27" s="11"/>
      <c r="D27" s="7"/>
      <c r="E27" s="5"/>
    </row>
    <row r="28" spans="1:5">
      <c r="A28" s="5"/>
      <c r="B28" s="6"/>
      <c r="C28" s="10"/>
      <c r="D28" s="7"/>
      <c r="E28" s="5"/>
    </row>
    <row r="29" spans="1:5">
      <c r="A29" s="5"/>
      <c r="B29" s="6"/>
      <c r="C29" s="10"/>
      <c r="D29" s="7"/>
      <c r="E29" s="5"/>
    </row>
    <row r="30" spans="1:5">
      <c r="A30" s="5"/>
      <c r="B30" s="6"/>
      <c r="C30" s="10"/>
      <c r="D30" s="7"/>
      <c r="E30" s="5"/>
    </row>
    <row r="31" spans="1:5">
      <c r="A31" s="5"/>
      <c r="B31" s="6"/>
      <c r="C31" s="10"/>
      <c r="D31" s="7"/>
      <c r="E31" s="5"/>
    </row>
    <row r="32" spans="1:5">
      <c r="A32" s="5"/>
      <c r="B32" s="6"/>
      <c r="C32" s="10"/>
      <c r="D32" s="7"/>
      <c r="E32" s="5"/>
    </row>
    <row r="33" spans="1:5">
      <c r="A33" s="5"/>
      <c r="B33" s="6"/>
      <c r="C33" s="10"/>
      <c r="D33" s="7"/>
      <c r="E33" s="5"/>
    </row>
    <row r="34" spans="1:5">
      <c r="A34" s="5"/>
      <c r="B34" s="6"/>
      <c r="C34" s="10"/>
      <c r="D34" s="7"/>
      <c r="E34" s="5"/>
    </row>
    <row r="35" spans="1:5">
      <c r="A35" s="5"/>
      <c r="B35" s="6"/>
      <c r="C35" s="10"/>
      <c r="D35" s="7"/>
      <c r="E35" s="5"/>
    </row>
    <row r="36" spans="1:5">
      <c r="A36" s="5"/>
      <c r="B36" s="6"/>
      <c r="C36" s="10"/>
      <c r="D36" s="7"/>
      <c r="E36" s="5"/>
    </row>
  </sheetData>
  <conditionalFormatting sqref="E2:E36">
    <cfRule type="cellIs" dxfId="21" priority="5" operator="equal">
      <formula>"Alto"</formula>
    </cfRule>
  </conditionalFormatting>
  <conditionalFormatting sqref="E3:E36">
    <cfRule type="cellIs" dxfId="20" priority="3" operator="equal">
      <formula>"Medio"</formula>
    </cfRule>
    <cfRule type="cellIs" dxfId="19" priority="4" operator="equal">
      <formula>"Basso"</formula>
    </cfRule>
  </conditionalFormatting>
  <conditionalFormatting sqref="E2:E36">
    <cfRule type="cellIs" dxfId="18" priority="1" operator="equal">
      <formula>"Medio"</formula>
    </cfRule>
    <cfRule type="cellIs" dxfId="17" priority="2" operator="equal">
      <formula>"Basso"</formula>
    </cfRule>
  </conditionalFormatting>
  <dataValidations count="1">
    <dataValidation type="list" allowBlank="1" showInputMessage="1" showErrorMessage="1" sqref="E2:E36" xr:uid="{100DFCD1-90AC-4854-9AC1-F2311771EE2C}">
      <formula1>"Basso,Medio,Alto"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4DA35-CC66-449F-A98A-CFFCC7BAB8E2}">
  <dimension ref="A1:E27"/>
  <sheetViews>
    <sheetView workbookViewId="0">
      <selection activeCell="A2" sqref="A2"/>
    </sheetView>
  </sheetViews>
  <sheetFormatPr defaultRowHeight="15"/>
  <cols>
    <col min="1" max="1" width="3" bestFit="1" customWidth="1"/>
    <col min="2" max="2" width="50" customWidth="1"/>
    <col min="3" max="3" width="50.5703125" customWidth="1"/>
    <col min="4" max="4" width="36.5703125" customWidth="1"/>
    <col min="5" max="5" width="52.85546875" customWidth="1"/>
  </cols>
  <sheetData>
    <row r="1" spans="1:5" ht="16.5">
      <c r="A1" s="1" t="s">
        <v>1</v>
      </c>
      <c r="B1" s="1" t="s">
        <v>4</v>
      </c>
      <c r="C1" s="1" t="s">
        <v>5</v>
      </c>
      <c r="D1" s="1" t="s">
        <v>6</v>
      </c>
      <c r="E1" s="1" t="s">
        <v>7</v>
      </c>
    </row>
    <row r="2" spans="1:5" ht="60.75">
      <c r="A2" s="7"/>
      <c r="B2" s="6" t="s">
        <v>54</v>
      </c>
      <c r="C2" s="7" t="s">
        <v>55</v>
      </c>
      <c r="D2" s="7" t="s">
        <v>56</v>
      </c>
      <c r="E2" s="5" t="s">
        <v>17</v>
      </c>
    </row>
    <row r="3" spans="1:5" ht="149.25" customHeight="1">
      <c r="A3" s="7"/>
      <c r="B3" s="6" t="s">
        <v>64</v>
      </c>
      <c r="C3" s="7" t="s">
        <v>65</v>
      </c>
      <c r="D3" s="7" t="s">
        <v>66</v>
      </c>
      <c r="E3" s="5" t="s">
        <v>17</v>
      </c>
    </row>
    <row r="4" spans="1:5" ht="137.25">
      <c r="A4" s="7"/>
      <c r="B4" s="6" t="s">
        <v>71</v>
      </c>
      <c r="C4" s="7" t="s">
        <v>72</v>
      </c>
      <c r="D4" s="7" t="s">
        <v>73</v>
      </c>
      <c r="E4" s="5" t="s">
        <v>23</v>
      </c>
    </row>
    <row r="5" spans="1:5" ht="137.25">
      <c r="A5" s="7"/>
      <c r="B5" s="6" t="s">
        <v>346</v>
      </c>
      <c r="C5" s="7" t="s">
        <v>148</v>
      </c>
      <c r="D5" s="7" t="s">
        <v>149</v>
      </c>
      <c r="E5" s="5" t="s">
        <v>17</v>
      </c>
    </row>
    <row r="6" spans="1:5" ht="76.5">
      <c r="A6" s="7"/>
      <c r="B6" s="6" t="s">
        <v>99</v>
      </c>
      <c r="C6" s="7" t="s">
        <v>100</v>
      </c>
      <c r="D6" s="7" t="s">
        <v>101</v>
      </c>
      <c r="E6" s="5" t="s">
        <v>17</v>
      </c>
    </row>
    <row r="7" spans="1:5" ht="84" customHeight="1">
      <c r="A7" s="7"/>
      <c r="B7" s="6" t="s">
        <v>122</v>
      </c>
      <c r="C7" s="7" t="s">
        <v>123</v>
      </c>
      <c r="D7" s="7" t="s">
        <v>124</v>
      </c>
      <c r="E7" s="5" t="s">
        <v>23</v>
      </c>
    </row>
    <row r="8" spans="1:5" ht="85.5" customHeight="1">
      <c r="A8" s="7"/>
      <c r="B8" s="6" t="s">
        <v>59</v>
      </c>
      <c r="C8" s="7" t="s">
        <v>60</v>
      </c>
      <c r="D8" s="7" t="s">
        <v>61</v>
      </c>
      <c r="E8" s="5" t="s">
        <v>17</v>
      </c>
    </row>
    <row r="9" spans="1:5" ht="72" customHeight="1">
      <c r="A9" s="7"/>
      <c r="B9" s="6" t="s">
        <v>68</v>
      </c>
      <c r="C9" s="7" t="s">
        <v>69</v>
      </c>
      <c r="D9" s="7"/>
      <c r="E9" s="5" t="s">
        <v>23</v>
      </c>
    </row>
    <row r="10" spans="1:5" ht="76.5" customHeight="1">
      <c r="A10" s="7"/>
      <c r="B10" s="6" t="s">
        <v>158</v>
      </c>
      <c r="C10" s="7" t="s">
        <v>159</v>
      </c>
      <c r="D10" s="7"/>
      <c r="E10" s="5" t="s">
        <v>23</v>
      </c>
    </row>
    <row r="11" spans="1:5" ht="69" customHeight="1">
      <c r="A11" s="7"/>
      <c r="B11" s="6" t="s">
        <v>199</v>
      </c>
      <c r="C11" s="7" t="s">
        <v>200</v>
      </c>
      <c r="D11" s="7"/>
      <c r="E11" s="5" t="s">
        <v>23</v>
      </c>
    </row>
    <row r="12" spans="1:5" ht="63.75" customHeight="1">
      <c r="A12" s="7"/>
      <c r="B12" s="6" t="s">
        <v>249</v>
      </c>
      <c r="C12" s="7" t="s">
        <v>250</v>
      </c>
      <c r="D12" s="7"/>
      <c r="E12" s="5" t="s">
        <v>23</v>
      </c>
    </row>
    <row r="13" spans="1:5" ht="82.5" customHeight="1">
      <c r="A13" s="7"/>
      <c r="B13" s="6" t="s">
        <v>252</v>
      </c>
      <c r="C13" s="7" t="s">
        <v>253</v>
      </c>
      <c r="D13" s="7" t="s">
        <v>254</v>
      </c>
      <c r="E13" s="5" t="s">
        <v>23</v>
      </c>
    </row>
    <row r="14" spans="1:5" ht="183">
      <c r="A14" s="7"/>
      <c r="B14" s="6" t="s">
        <v>257</v>
      </c>
      <c r="C14" s="7" t="s">
        <v>258</v>
      </c>
      <c r="D14" s="7" t="s">
        <v>259</v>
      </c>
      <c r="E14" s="5" t="s">
        <v>23</v>
      </c>
    </row>
    <row r="15" spans="1:5" ht="72" customHeight="1">
      <c r="A15" s="7"/>
      <c r="B15" s="6" t="s">
        <v>261</v>
      </c>
      <c r="C15" s="7" t="s">
        <v>262</v>
      </c>
      <c r="D15" s="7"/>
      <c r="E15" s="5" t="s">
        <v>23</v>
      </c>
    </row>
    <row r="16" spans="1:5" ht="76.5">
      <c r="A16" s="5"/>
      <c r="B16" s="6" t="s">
        <v>162</v>
      </c>
      <c r="C16" s="7" t="s">
        <v>163</v>
      </c>
      <c r="D16" s="7" t="s">
        <v>164</v>
      </c>
      <c r="E16" s="5" t="s">
        <v>23</v>
      </c>
    </row>
    <row r="17" spans="1:5">
      <c r="A17" s="5"/>
      <c r="B17" s="6"/>
      <c r="C17" s="7"/>
      <c r="D17" s="7"/>
      <c r="E17" s="5"/>
    </row>
    <row r="18" spans="1:5" ht="25.5" customHeight="1">
      <c r="A18" s="7"/>
      <c r="B18" s="7"/>
      <c r="C18" s="7"/>
      <c r="D18" s="7"/>
    </row>
    <row r="19" spans="1:5" ht="27.75" customHeight="1">
      <c r="A19" s="7"/>
      <c r="C19" s="7"/>
      <c r="D19" s="7"/>
    </row>
    <row r="20" spans="1:5">
      <c r="A20" s="7"/>
      <c r="C20" s="7"/>
      <c r="D20" s="7"/>
    </row>
    <row r="21" spans="1:5">
      <c r="A21" s="7"/>
      <c r="C21" s="7"/>
      <c r="D21" s="7"/>
    </row>
    <row r="22" spans="1:5">
      <c r="A22" s="7"/>
      <c r="C22" s="7"/>
      <c r="D22" s="7"/>
    </row>
    <row r="23" spans="1:5">
      <c r="A23" s="7"/>
      <c r="C23" s="7"/>
      <c r="D23" s="7"/>
    </row>
    <row r="24" spans="1:5">
      <c r="A24" s="7"/>
      <c r="C24" s="7"/>
      <c r="D24" s="7"/>
    </row>
    <row r="25" spans="1:5">
      <c r="A25" s="7"/>
      <c r="C25" s="7"/>
      <c r="D25" s="7"/>
    </row>
    <row r="26" spans="1:5">
      <c r="A26" s="7"/>
      <c r="C26" s="7"/>
      <c r="D26" s="7"/>
    </row>
    <row r="27" spans="1:5">
      <c r="A27" s="7"/>
      <c r="C27" s="7"/>
      <c r="D27" s="7"/>
    </row>
  </sheetData>
  <conditionalFormatting sqref="E2:E17">
    <cfRule type="cellIs" dxfId="16" priority="7" operator="equal">
      <formula>"Alto"</formula>
    </cfRule>
  </conditionalFormatting>
  <conditionalFormatting sqref="E4">
    <cfRule type="cellIs" dxfId="15" priority="5" operator="equal">
      <formula>"Medio"</formula>
    </cfRule>
    <cfRule type="cellIs" dxfId="14" priority="6" operator="equal">
      <formula>"Basso"</formula>
    </cfRule>
  </conditionalFormatting>
  <conditionalFormatting sqref="E2:E17">
    <cfRule type="cellIs" dxfId="13" priority="3" operator="equal">
      <formula>"Medio"</formula>
    </cfRule>
    <cfRule type="cellIs" dxfId="12" priority="4" operator="equal">
      <formula>"Basso"</formula>
    </cfRule>
  </conditionalFormatting>
  <conditionalFormatting sqref="E7:E17">
    <cfRule type="cellIs" dxfId="11" priority="1" operator="equal">
      <formula>"Medio"</formula>
    </cfRule>
    <cfRule type="cellIs" dxfId="10" priority="2" operator="equal">
      <formula>"Basso"</formula>
    </cfRule>
  </conditionalFormatting>
  <dataValidations count="1">
    <dataValidation type="list" allowBlank="1" showInputMessage="1" showErrorMessage="1" sqref="E2:E17" xr:uid="{7AFE55B2-5A18-418F-9B5D-52840D80C9DB}">
      <formula1>"Basso,Medio,Alto"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BBB91-FB0D-4708-B4F7-F25255711E92}">
  <dimension ref="A1:E25"/>
  <sheetViews>
    <sheetView workbookViewId="0">
      <selection activeCell="C2" sqref="C2"/>
    </sheetView>
  </sheetViews>
  <sheetFormatPr defaultRowHeight="15"/>
  <cols>
    <col min="1" max="1" width="2.7109375" bestFit="1" customWidth="1"/>
    <col min="2" max="2" width="41.28515625" customWidth="1"/>
    <col min="3" max="3" width="32" customWidth="1"/>
    <col min="4" max="4" width="29.5703125" customWidth="1"/>
    <col min="5" max="5" width="52.85546875" customWidth="1"/>
  </cols>
  <sheetData>
    <row r="1" spans="1:5" ht="32.25">
      <c r="A1" s="1" t="s">
        <v>1</v>
      </c>
      <c r="B1" s="1" t="s">
        <v>4</v>
      </c>
      <c r="C1" s="1" t="s">
        <v>5</v>
      </c>
      <c r="D1" s="1" t="s">
        <v>6</v>
      </c>
      <c r="E1" s="1" t="s">
        <v>7</v>
      </c>
    </row>
    <row r="2" spans="1:5" ht="137.25">
      <c r="A2" s="5"/>
      <c r="B2" s="6" t="s">
        <v>77</v>
      </c>
      <c r="C2" s="7" t="s">
        <v>78</v>
      </c>
      <c r="D2" s="7" t="s">
        <v>79</v>
      </c>
      <c r="E2" s="5" t="s">
        <v>17</v>
      </c>
    </row>
    <row r="3" spans="1:5" ht="183">
      <c r="A3" s="5"/>
      <c r="B3" s="6" t="s">
        <v>90</v>
      </c>
      <c r="C3" s="7" t="s">
        <v>347</v>
      </c>
      <c r="D3" s="7" t="s">
        <v>92</v>
      </c>
      <c r="E3" s="5" t="s">
        <v>17</v>
      </c>
    </row>
    <row r="4" spans="1:5" ht="106.5">
      <c r="B4" s="6" t="s">
        <v>94</v>
      </c>
      <c r="C4" s="9" t="s">
        <v>95</v>
      </c>
      <c r="D4" s="9" t="s">
        <v>96</v>
      </c>
      <c r="E4" s="5" t="s">
        <v>23</v>
      </c>
    </row>
    <row r="5" spans="1:5" ht="290.25">
      <c r="B5" s="6" t="s">
        <v>104</v>
      </c>
      <c r="C5" s="9" t="s">
        <v>105</v>
      </c>
      <c r="D5" s="9" t="s">
        <v>106</v>
      </c>
      <c r="E5" s="5" t="s">
        <v>17</v>
      </c>
    </row>
    <row r="6" spans="1:5" ht="45.75">
      <c r="B6" s="6" t="s">
        <v>348</v>
      </c>
      <c r="C6" s="9" t="s">
        <v>120</v>
      </c>
      <c r="D6" s="9"/>
      <c r="E6" s="5" t="s">
        <v>17</v>
      </c>
    </row>
    <row r="7" spans="1:5" ht="60.75">
      <c r="B7" s="6" t="s">
        <v>116</v>
      </c>
      <c r="C7" s="9" t="s">
        <v>117</v>
      </c>
      <c r="D7" s="9"/>
      <c r="E7" s="5" t="s">
        <v>23</v>
      </c>
    </row>
    <row r="8" spans="1:5" ht="167.25">
      <c r="B8" s="6" t="s">
        <v>112</v>
      </c>
      <c r="C8" s="9" t="s">
        <v>113</v>
      </c>
      <c r="D8" s="9" t="s">
        <v>114</v>
      </c>
      <c r="E8" s="5" t="s">
        <v>17</v>
      </c>
    </row>
    <row r="9" spans="1:5" ht="244.5">
      <c r="B9" s="6" t="s">
        <v>108</v>
      </c>
      <c r="C9" s="9" t="s">
        <v>109</v>
      </c>
      <c r="D9" s="9" t="s">
        <v>110</v>
      </c>
      <c r="E9" s="5" t="s">
        <v>17</v>
      </c>
    </row>
    <row r="10" spans="1:5" ht="121.5">
      <c r="B10" s="6" t="s">
        <v>167</v>
      </c>
      <c r="C10" s="9" t="s">
        <v>168</v>
      </c>
      <c r="D10" s="9" t="s">
        <v>169</v>
      </c>
      <c r="E10" s="5" t="s">
        <v>23</v>
      </c>
    </row>
    <row r="11" spans="1:5" ht="60.75">
      <c r="B11" s="6" t="s">
        <v>175</v>
      </c>
      <c r="C11" s="9" t="s">
        <v>176</v>
      </c>
      <c r="D11" s="9"/>
      <c r="E11" s="5" t="s">
        <v>23</v>
      </c>
    </row>
    <row r="12" spans="1:5" ht="91.5">
      <c r="B12" s="6" t="s">
        <v>183</v>
      </c>
      <c r="C12" s="9" t="s">
        <v>184</v>
      </c>
      <c r="D12" s="9" t="s">
        <v>185</v>
      </c>
      <c r="E12" s="5" t="s">
        <v>17</v>
      </c>
    </row>
    <row r="13" spans="1:5" ht="76.5">
      <c r="B13" s="6" t="s">
        <v>187</v>
      </c>
      <c r="C13" s="9" t="s">
        <v>188</v>
      </c>
      <c r="D13" s="9"/>
      <c r="E13" s="5" t="s">
        <v>23</v>
      </c>
    </row>
    <row r="14" spans="1:5" ht="76.5">
      <c r="B14" s="6" t="s">
        <v>171</v>
      </c>
      <c r="C14" s="9" t="s">
        <v>172</v>
      </c>
      <c r="D14" s="9" t="s">
        <v>173</v>
      </c>
      <c r="E14" s="5" t="s">
        <v>17</v>
      </c>
    </row>
    <row r="15" spans="1:5" ht="76.5">
      <c r="B15" s="6" t="s">
        <v>190</v>
      </c>
      <c r="C15" s="9" t="s">
        <v>191</v>
      </c>
      <c r="D15" s="8"/>
      <c r="E15" s="5" t="s">
        <v>23</v>
      </c>
    </row>
    <row r="16" spans="1:5">
      <c r="B16" s="7"/>
      <c r="C16" s="9"/>
      <c r="D16" s="8"/>
    </row>
    <row r="17" spans="2:4">
      <c r="B17" s="7"/>
      <c r="C17" s="9"/>
      <c r="D17" s="8"/>
    </row>
    <row r="18" spans="2:4">
      <c r="B18" s="7"/>
      <c r="C18" s="9"/>
      <c r="D18" s="8"/>
    </row>
    <row r="19" spans="2:4">
      <c r="B19" s="7"/>
      <c r="C19" s="9"/>
    </row>
    <row r="20" spans="2:4">
      <c r="B20" s="7"/>
      <c r="C20" s="9"/>
    </row>
    <row r="21" spans="2:4">
      <c r="B21" s="7"/>
      <c r="C21" s="9"/>
    </row>
    <row r="22" spans="2:4">
      <c r="B22" s="7"/>
      <c r="C22" s="9"/>
    </row>
    <row r="23" spans="2:4">
      <c r="B23" s="7"/>
      <c r="C23" s="9"/>
    </row>
    <row r="24" spans="2:4">
      <c r="B24" s="7"/>
      <c r="C24" s="9"/>
    </row>
    <row r="25" spans="2:4">
      <c r="B25" s="7"/>
      <c r="C25" s="9"/>
    </row>
  </sheetData>
  <conditionalFormatting sqref="E2:E15">
    <cfRule type="cellIs" dxfId="9" priority="5" operator="equal">
      <formula>"Alto"</formula>
    </cfRule>
  </conditionalFormatting>
  <conditionalFormatting sqref="E3:E15">
    <cfRule type="cellIs" dxfId="8" priority="3" operator="equal">
      <formula>"Medio"</formula>
    </cfRule>
    <cfRule type="cellIs" dxfId="7" priority="4" operator="equal">
      <formula>"Basso"</formula>
    </cfRule>
  </conditionalFormatting>
  <conditionalFormatting sqref="E2:E15">
    <cfRule type="cellIs" dxfId="6" priority="1" operator="equal">
      <formula>"Medio"</formula>
    </cfRule>
    <cfRule type="cellIs" dxfId="5" priority="2" operator="equal">
      <formula>"Basso"</formula>
    </cfRule>
  </conditionalFormatting>
  <dataValidations count="1">
    <dataValidation type="list" allowBlank="1" showInputMessage="1" showErrorMessage="1" sqref="E2:E15" xr:uid="{EB5E4A35-B860-4472-8A08-FFAEF3A1F19A}">
      <formula1>"Basso,Medio,Alto"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EEC2-19AB-4CFB-BEA8-28A962021D11}">
  <dimension ref="A1:E25"/>
  <sheetViews>
    <sheetView topLeftCell="A8" workbookViewId="0">
      <selection activeCell="B3" sqref="B3"/>
    </sheetView>
  </sheetViews>
  <sheetFormatPr defaultRowHeight="15"/>
  <cols>
    <col min="1" max="1" width="7.42578125" bestFit="1" customWidth="1"/>
    <col min="2" max="2" width="47.140625" customWidth="1"/>
    <col min="3" max="3" width="61.28515625" customWidth="1"/>
    <col min="4" max="4" width="59.140625" customWidth="1"/>
    <col min="5" max="5" width="45.5703125" customWidth="1"/>
  </cols>
  <sheetData>
    <row r="1" spans="1:5" ht="16.5">
      <c r="A1" s="1" t="s">
        <v>1</v>
      </c>
      <c r="B1" s="1" t="s">
        <v>4</v>
      </c>
      <c r="C1" s="1" t="s">
        <v>5</v>
      </c>
      <c r="D1" s="1" t="s">
        <v>6</v>
      </c>
      <c r="E1" s="1" t="s">
        <v>7</v>
      </c>
    </row>
    <row r="2" spans="1:5" ht="45.75">
      <c r="A2" s="7" t="s">
        <v>349</v>
      </c>
      <c r="B2" s="6" t="s">
        <v>127</v>
      </c>
      <c r="C2" s="7" t="s">
        <v>128</v>
      </c>
      <c r="D2" s="7" t="s">
        <v>129</v>
      </c>
      <c r="E2" s="5" t="s">
        <v>17</v>
      </c>
    </row>
    <row r="3" spans="1:5" ht="121.5">
      <c r="A3" s="7" t="s">
        <v>349</v>
      </c>
      <c r="B3" s="6" t="s">
        <v>131</v>
      </c>
      <c r="C3" s="7" t="s">
        <v>350</v>
      </c>
      <c r="D3" s="7" t="s">
        <v>133</v>
      </c>
      <c r="E3" s="5" t="s">
        <v>23</v>
      </c>
    </row>
    <row r="4" spans="1:5" ht="45.75">
      <c r="A4" s="7" t="s">
        <v>349</v>
      </c>
      <c r="B4" s="6" t="s">
        <v>83</v>
      </c>
      <c r="C4" s="7" t="s">
        <v>84</v>
      </c>
      <c r="D4" s="7" t="s">
        <v>85</v>
      </c>
      <c r="E4" s="5" t="s">
        <v>23</v>
      </c>
    </row>
    <row r="5" spans="1:5" ht="45.75">
      <c r="A5" s="7" t="s">
        <v>349</v>
      </c>
      <c r="B5" s="6" t="s">
        <v>136</v>
      </c>
      <c r="C5" s="7" t="s">
        <v>137</v>
      </c>
      <c r="D5" s="7" t="s">
        <v>138</v>
      </c>
      <c r="E5" s="5" t="s">
        <v>17</v>
      </c>
    </row>
    <row r="6" spans="1:5" ht="45.75">
      <c r="A6" s="7" t="s">
        <v>349</v>
      </c>
      <c r="B6" s="6" t="s">
        <v>140</v>
      </c>
      <c r="C6" s="7" t="s">
        <v>141</v>
      </c>
      <c r="D6" s="7" t="s">
        <v>142</v>
      </c>
      <c r="E6" s="5" t="s">
        <v>23</v>
      </c>
    </row>
    <row r="7" spans="1:5" ht="45.75">
      <c r="A7" s="7" t="s">
        <v>349</v>
      </c>
      <c r="B7" s="6" t="s">
        <v>144</v>
      </c>
      <c r="C7" s="7" t="s">
        <v>145</v>
      </c>
      <c r="D7" s="7"/>
      <c r="E7" s="5" t="s">
        <v>23</v>
      </c>
    </row>
    <row r="8" spans="1:5" ht="45.75">
      <c r="A8" s="7" t="s">
        <v>349</v>
      </c>
      <c r="B8" s="6" t="s">
        <v>151</v>
      </c>
      <c r="C8" s="7" t="s">
        <v>152</v>
      </c>
      <c r="D8" s="7" t="s">
        <v>153</v>
      </c>
      <c r="E8" s="5" t="s">
        <v>17</v>
      </c>
    </row>
    <row r="9" spans="1:5" ht="45.75">
      <c r="A9" s="7" t="s">
        <v>349</v>
      </c>
      <c r="B9" s="6" t="s">
        <v>87</v>
      </c>
      <c r="C9" s="7" t="s">
        <v>88</v>
      </c>
      <c r="D9" s="7"/>
      <c r="E9" s="5" t="s">
        <v>17</v>
      </c>
    </row>
    <row r="10" spans="1:5" ht="30.75">
      <c r="A10" s="7" t="s">
        <v>349</v>
      </c>
      <c r="B10" s="6" t="s">
        <v>206</v>
      </c>
      <c r="C10" s="7" t="s">
        <v>207</v>
      </c>
      <c r="D10" s="7"/>
      <c r="E10" s="5" t="s">
        <v>23</v>
      </c>
    </row>
    <row r="11" spans="1:5" ht="30.75">
      <c r="A11" s="7" t="s">
        <v>349</v>
      </c>
      <c r="B11" s="6" t="s">
        <v>202</v>
      </c>
      <c r="C11" s="7" t="s">
        <v>203</v>
      </c>
      <c r="D11" s="7"/>
      <c r="E11" s="5" t="s">
        <v>204</v>
      </c>
    </row>
    <row r="12" spans="1:5" ht="30.75">
      <c r="A12" s="7" t="s">
        <v>349</v>
      </c>
      <c r="B12" s="6" t="s">
        <v>209</v>
      </c>
      <c r="C12" s="7" t="s">
        <v>210</v>
      </c>
      <c r="D12" s="7"/>
      <c r="E12" s="5" t="s">
        <v>23</v>
      </c>
    </row>
    <row r="13" spans="1:5" ht="30.75">
      <c r="A13" s="7" t="s">
        <v>349</v>
      </c>
      <c r="B13" s="6" t="s">
        <v>215</v>
      </c>
      <c r="C13" s="7" t="s">
        <v>216</v>
      </c>
      <c r="D13" s="7"/>
      <c r="E13" s="5" t="s">
        <v>204</v>
      </c>
    </row>
    <row r="14" spans="1:5" ht="45.75">
      <c r="A14" s="7" t="s">
        <v>349</v>
      </c>
      <c r="B14" s="6" t="s">
        <v>212</v>
      </c>
      <c r="C14" s="7" t="s">
        <v>213</v>
      </c>
      <c r="D14" s="7"/>
      <c r="E14" s="5" t="s">
        <v>23</v>
      </c>
    </row>
    <row r="15" spans="1:5" ht="45.75">
      <c r="A15" s="7" t="s">
        <v>349</v>
      </c>
      <c r="B15" s="6" t="s">
        <v>195</v>
      </c>
      <c r="C15" s="7" t="s">
        <v>196</v>
      </c>
      <c r="D15" s="7" t="s">
        <v>351</v>
      </c>
      <c r="E15" s="5" t="s">
        <v>17</v>
      </c>
    </row>
    <row r="16" spans="1:5" ht="60.75">
      <c r="A16" s="7" t="s">
        <v>349</v>
      </c>
      <c r="B16" s="6" t="s">
        <v>179</v>
      </c>
      <c r="C16" s="7" t="s">
        <v>180</v>
      </c>
      <c r="D16" s="7" t="s">
        <v>181</v>
      </c>
      <c r="E16" s="5" t="s">
        <v>23</v>
      </c>
    </row>
    <row r="17" spans="1:5" ht="30.75">
      <c r="A17" s="7" t="s">
        <v>349</v>
      </c>
      <c r="B17" s="6" t="s">
        <v>218</v>
      </c>
      <c r="C17" s="7" t="s">
        <v>219</v>
      </c>
      <c r="D17" s="7"/>
      <c r="E17" s="5" t="s">
        <v>23</v>
      </c>
    </row>
    <row r="18" spans="1:5" ht="45.75">
      <c r="A18" s="7"/>
      <c r="B18" s="6" t="s">
        <v>155</v>
      </c>
      <c r="C18" s="7" t="s">
        <v>156</v>
      </c>
      <c r="D18" s="7"/>
      <c r="E18" s="5" t="s">
        <v>17</v>
      </c>
    </row>
    <row r="19" spans="1:5" ht="45.75">
      <c r="A19" s="7" t="s">
        <v>352</v>
      </c>
      <c r="B19" s="6" t="s">
        <v>270</v>
      </c>
      <c r="C19" s="7" t="s">
        <v>271</v>
      </c>
      <c r="D19" s="7"/>
      <c r="E19" s="5" t="s">
        <v>17</v>
      </c>
    </row>
    <row r="20" spans="1:5" ht="30.75">
      <c r="A20" s="7" t="s">
        <v>352</v>
      </c>
      <c r="B20" s="6" t="s">
        <v>266</v>
      </c>
      <c r="C20" s="7" t="s">
        <v>267</v>
      </c>
      <c r="D20" s="7"/>
      <c r="E20" s="5" t="s">
        <v>23</v>
      </c>
    </row>
    <row r="21" spans="1:5" ht="45.75">
      <c r="A21" s="7" t="s">
        <v>352</v>
      </c>
      <c r="B21" s="6" t="s">
        <v>273</v>
      </c>
      <c r="C21" s="7" t="s">
        <v>274</v>
      </c>
      <c r="D21" s="7"/>
      <c r="E21" s="5" t="s">
        <v>23</v>
      </c>
    </row>
    <row r="22" spans="1:5" ht="30.75">
      <c r="A22" s="7" t="s">
        <v>352</v>
      </c>
      <c r="B22" s="6" t="s">
        <v>277</v>
      </c>
      <c r="C22" s="7" t="s">
        <v>278</v>
      </c>
      <c r="D22" s="7"/>
      <c r="E22" s="5" t="s">
        <v>23</v>
      </c>
    </row>
    <row r="23" spans="1:5" ht="30.75">
      <c r="A23" s="7" t="s">
        <v>352</v>
      </c>
      <c r="B23" s="6" t="s">
        <v>280</v>
      </c>
      <c r="C23" s="7" t="s">
        <v>281</v>
      </c>
      <c r="D23" s="7"/>
      <c r="E23" s="5" t="s">
        <v>23</v>
      </c>
    </row>
    <row r="24" spans="1:5" ht="60.75">
      <c r="A24" s="7" t="s">
        <v>352</v>
      </c>
      <c r="B24" s="6" t="s">
        <v>283</v>
      </c>
      <c r="C24" s="7" t="s">
        <v>284</v>
      </c>
      <c r="D24" s="7" t="s">
        <v>353</v>
      </c>
      <c r="E24" s="5" t="s">
        <v>23</v>
      </c>
    </row>
    <row r="25" spans="1:5" ht="45.75">
      <c r="A25" s="7" t="s">
        <v>352</v>
      </c>
      <c r="B25" s="6" t="s">
        <v>286</v>
      </c>
      <c r="C25" s="7" t="s">
        <v>287</v>
      </c>
      <c r="D25" s="7"/>
      <c r="E25" s="5" t="s">
        <v>23</v>
      </c>
    </row>
  </sheetData>
  <conditionalFormatting sqref="E2:E25">
    <cfRule type="cellIs" dxfId="4" priority="5" operator="equal">
      <formula>"Alto"</formula>
    </cfRule>
  </conditionalFormatting>
  <conditionalFormatting sqref="E3:E25">
    <cfRule type="cellIs" dxfId="3" priority="3" operator="equal">
      <formula>"Medio"</formula>
    </cfRule>
    <cfRule type="cellIs" dxfId="2" priority="4" operator="equal">
      <formula>"Basso"</formula>
    </cfRule>
  </conditionalFormatting>
  <conditionalFormatting sqref="E2:E25">
    <cfRule type="cellIs" dxfId="1" priority="1" operator="equal">
      <formula>"Medio"</formula>
    </cfRule>
    <cfRule type="cellIs" dxfId="0" priority="2" operator="equal">
      <formula>"Basso"</formula>
    </cfRule>
  </conditionalFormatting>
  <dataValidations count="1">
    <dataValidation type="list" allowBlank="1" showInputMessage="1" showErrorMessage="1" sqref="E2:E25" xr:uid="{156C3D5C-8959-4DB7-A671-82D06D3ED434}">
      <formula1>"Basso,Medio,Alto"</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1389BAF39BADA4BA2C27DE5382AFC45" ma:contentTypeVersion="7" ma:contentTypeDescription="Creare un nuovo documento." ma:contentTypeScope="" ma:versionID="c2be97e067deac6cce62b0be37cda2bc">
  <xsd:schema xmlns:xsd="http://www.w3.org/2001/XMLSchema" xmlns:xs="http://www.w3.org/2001/XMLSchema" xmlns:p="http://schemas.microsoft.com/office/2006/metadata/properties" xmlns:ns2="d75d8c8f-f3f8-4afb-89d8-8163c2c663df" targetNamespace="http://schemas.microsoft.com/office/2006/metadata/properties" ma:root="true" ma:fieldsID="53371fb2e039df3b665603e76c60c0ca" ns2:_="">
    <xsd:import namespace="d75d8c8f-f3f8-4afb-89d8-8163c2c663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d8c8f-f3f8-4afb-89d8-8163c2c663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5620AEF-F8F0-40F6-BFF6-8FCFA6F7FB23}"/>
</file>

<file path=customXml/itemProps2.xml><?xml version="1.0" encoding="utf-8"?>
<ds:datastoreItem xmlns:ds="http://schemas.openxmlformats.org/officeDocument/2006/customXml" ds:itemID="{545D9857-A7BA-4BED-BBDA-D6A275E3929E}"/>
</file>

<file path=customXml/itemProps3.xml><?xml version="1.0" encoding="utf-8"?>
<ds:datastoreItem xmlns:ds="http://schemas.openxmlformats.org/officeDocument/2006/customXml" ds:itemID="{171D4ABE-8F7D-4498-A4BF-7E2700088BC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2026-10-14T14:27:32Z</dcterms:created>
  <dcterms:modified xsi:type="dcterms:W3CDTF">2026-10-27T23:13:14Z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0x01010041389BAF39BADA4BA2C27DE5382AFC45</vt:lpwstr>
  </property>
</Properties>
</file>